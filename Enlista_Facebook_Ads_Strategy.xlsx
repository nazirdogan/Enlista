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hase 1 — Content Scoring" sheetId="1" state="visible" r:id="rId3"/>
    <sheet name="Phase 2 — Audience Targeting" sheetId="2" state="visible" r:id="rId4"/>
    <sheet name="Phase 3 — Campaign Architecture" sheetId="3" state="visible" r:id="rId5"/>
    <sheet name="Phase 4 — Automation Rules" sheetId="4" state="visible" r:id="rId6"/>
    <sheet name="Phase 5 — Ad Copy" sheetId="5" state="visible" r:id="rId7"/>
    <sheet name="Phase 6 — Reporting Template" sheetId="6" state="visible" r:id="rId8"/>
    <sheet name="Budget Planner"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<sst xmlns="http://schemas.openxmlformats.org/spreadsheetml/2006/main" count="1010" uniqueCount="734">
  <si>
    <t xml:space="preserve">ENLISTA — PHASE 1: CONTENT AUDIT &amp; AD CONVERSION SCORING</t>
  </si>
  <si>
    <t xml:space="preserve">Post #</t>
  </si>
  <si>
    <t xml:space="preserve">Section</t>
  </si>
  <si>
    <t xml:space="preserve">Post Title</t>
  </si>
  <si>
    <t xml:space="preserve">Format</t>
  </si>
  <si>
    <t xml:space="preserve">Hook
Strength
(1-10)</t>
  </si>
  <si>
    <t xml:space="preserve">ICP
Relevance
(1-10)</t>
  </si>
  <si>
    <t xml:space="preserve">Proof /
Credibility
(1-10)</t>
  </si>
  <si>
    <t xml:space="preserve">CTA
Clarity
(1-10)</t>
  </si>
  <si>
    <t xml:space="preserve">Ad Format
Suitability
(1-10)</t>
  </si>
  <si>
    <t xml:space="preserve">Emotional
Resonance
(1-10)</t>
  </si>
  <si>
    <t xml:space="preserve">Objection
Handling
(1-10)</t>
  </si>
  <si>
    <t xml:space="preserve">TOTAL
SCORE
(/70)</t>
  </si>
  <si>
    <t xml:space="preserve">00</t>
  </si>
  <si>
    <t xml:space="preserve">Launch</t>
  </si>
  <si>
    <t xml:space="preserve">Enlista is live — AI listing platform for UAE brokers</t>
  </si>
  <si>
    <t xml:space="preserve">Static</t>
  </si>
  <si>
    <t xml:space="preserve">01</t>
  </si>
  <si>
    <t xml:space="preserve">How It Works</t>
  </si>
  <si>
    <t xml:space="preserve">Speak. Generate. Ready. Full listing copy in 60 sec</t>
  </si>
  <si>
    <t xml:space="preserve">Carousel·4</t>
  </si>
  <si>
    <t xml:space="preserve">02</t>
  </si>
  <si>
    <t xml:space="preserve">We timed it. Voice → bilingual listing copy &lt; 60 sec</t>
  </si>
  <si>
    <t xml:space="preserve">Carousel·5</t>
  </si>
  <si>
    <t xml:space="preserve">03</t>
  </si>
  <si>
    <t xml:space="preserve">Say it once. Everything's ready. 5 channels.</t>
  </si>
  <si>
    <t xml:space="preserve">04</t>
  </si>
  <si>
    <t xml:space="preserve">What Enlista does — explained for newcomers</t>
  </si>
  <si>
    <t xml:space="preserve">Carousel·6</t>
  </si>
  <si>
    <t xml:space="preserve">05</t>
  </si>
  <si>
    <t xml:space="preserve">Pain Points</t>
  </si>
  <si>
    <t xml:space="preserve">True cost of manual listing: 90 min breakdown</t>
  </si>
  <si>
    <t xml:space="preserve">06</t>
  </si>
  <si>
    <t xml:space="preserve">Competitor had copy ready 90 min before you</t>
  </si>
  <si>
    <t xml:space="preserve">07</t>
  </si>
  <si>
    <t xml:space="preserve">RERA suspended your listing — here's why</t>
  </si>
  <si>
    <t xml:space="preserve">08</t>
  </si>
  <si>
    <t xml:space="preserve">Arabic copy losing you Arabic buyers</t>
  </si>
  <si>
    <t xml:space="preserve">09</t>
  </si>
  <si>
    <t xml:space="preserve">"I'll write it tomorrow" = lead you gave away</t>
  </si>
  <si>
    <t xml:space="preserve">10</t>
  </si>
  <si>
    <t xml:space="preserve">5 listing mistakes costing you leads</t>
  </si>
  <si>
    <t xml:space="preserve">Carousel·7</t>
  </si>
  <si>
    <t xml:space="preserve">11</t>
  </si>
  <si>
    <t xml:space="preserve">Features</t>
  </si>
  <si>
    <t xml:space="preserve">Voice-to-copy: bilingual listing in seconds</t>
  </si>
  <si>
    <t xml:space="preserve">12</t>
  </si>
  <si>
    <t xml:space="preserve">Multi-channel copy: 1 input, 5 platforms</t>
  </si>
  <si>
    <t xml:space="preserve">13</t>
  </si>
  <si>
    <t xml:space="preserve">RERA ✓ All clean — compliance before paste</t>
  </si>
  <si>
    <t xml:space="preserve">14</t>
  </si>
  <si>
    <t xml:space="preserve">Lead scoring: who to call first and why</t>
  </si>
  <si>
    <t xml:space="preserve">15</t>
  </si>
  <si>
    <t xml:space="preserve">Bilingual copy outperforms English-only</t>
  </si>
  <si>
    <t xml:space="preserve">16</t>
  </si>
  <si>
    <t xml:space="preserve">Listings ready faster → enquiries up +24%</t>
  </si>
  <si>
    <t xml:space="preserve">17</t>
  </si>
  <si>
    <t xml:space="preserve">WhatsApp response bot: qualify leads while in viewing</t>
  </si>
  <si>
    <t xml:space="preserve">18</t>
  </si>
  <si>
    <t xml:space="preserve">Speed</t>
  </si>
  <si>
    <t xml:space="preserve">Manual vs Enlista: full week side by side</t>
  </si>
  <si>
    <t xml:space="preserve">19</t>
  </si>
  <si>
    <t xml:space="preserve">Copy ready before client left the office</t>
  </si>
  <si>
    <t xml:space="preserve">20</t>
  </si>
  <si>
    <t xml:space="preserve">20 listings/month = 30 hrs writing. The maths.</t>
  </si>
  <si>
    <t xml:space="preserve">21</t>
  </si>
  <si>
    <t xml:space="preserve">Social Proof</t>
  </si>
  <si>
    <t xml:space="preserve">124K listings. 840 agencies. The numbers.</t>
  </si>
  <si>
    <t xml:space="preserve">22</t>
  </si>
  <si>
    <t xml:space="preserve">Two days to four minutes — 720× faster</t>
  </si>
  <si>
    <t xml:space="preserve">23</t>
  </si>
  <si>
    <t xml:space="preserve">840 active agencies. Copy ready in &lt; 1 min.</t>
  </si>
  <si>
    <t xml:space="preserve">24</t>
  </si>
  <si>
    <t xml:space="preserve">5 agencies, 5 use cases, one platform</t>
  </si>
  <si>
    <t xml:space="preserve">25</t>
  </si>
  <si>
    <t xml:space="preserve">Market Intel</t>
  </si>
  <si>
    <t xml:space="preserve">Top 5 communities by price/sqft growth Q1 2026</t>
  </si>
  <si>
    <t xml:space="preserve">26</t>
  </si>
  <si>
    <t xml:space="preserve">Bayut vs PF vs Dubizzle: where buyers search</t>
  </si>
  <si>
    <t xml:space="preserve">27</t>
  </si>
  <si>
    <t xml:space="preserve">Off-plan vs ready: Q1 2026 transaction split</t>
  </si>
  <si>
    <t xml:space="preserve">28</t>
  </si>
  <si>
    <t xml:space="preserve">Broker Life</t>
  </si>
  <si>
    <t xml:space="preserve">Listing status: Bayut ready ✓, Dubizzle still writing</t>
  </si>
  <si>
    <t xml:space="preserve">29</t>
  </si>
  <si>
    <t xml:space="preserve">7 stages of writing a listing manually</t>
  </si>
  <si>
    <t xml:space="preserve">Carousel·8</t>
  </si>
  <si>
    <t xml:space="preserve">30</t>
  </si>
  <si>
    <t xml:space="preserve">Stop writing listings. Start closing deals.</t>
  </si>
  <si>
    <t xml:space="preserve">TOP 6 PRIMARY AD CANDIDATES — ANALYSIS</t>
  </si>
  <si>
    <t xml:space="preserve">Rank</t>
  </si>
  <si>
    <t xml:space="preserve">Score</t>
  </si>
  <si>
    <t xml:space="preserve">Recommended
Ad Format</t>
  </si>
  <si>
    <t xml:space="preserve">Primary
Psychological Trigger</t>
  </si>
  <si>
    <t xml:space="preserve">Why It Will Convert</t>
  </si>
  <si>
    <t xml:space="preserve">Carousel → Video</t>
  </si>
  <si>
    <t xml:space="preserve">Fear of loss / Compliance anxiety</t>
  </si>
  <si>
    <t xml:space="preserve">RERA suspension is the #1 fear for Dubai brokers. This post names the exact pain, walks through 3 real failure scenarios, and positions Enlista as the prevention. Extremely high urgency — agents who've been suspended will click immediately. Those who haven't will fear it.</t>
  </si>
  <si>
    <t xml:space="preserve">Carousel / Video</t>
  </si>
  <si>
    <t xml:space="preserve">Social proof + Speed transformation</t>
  </si>
  <si>
    <t xml:space="preserve">The "720× faster" stat is a scroll-stopper. Combines concrete proof (real agency quote) with a dramatic before/after transformation. Decision-makers respond to quantified ROI — this delivers it in one number.</t>
  </si>
  <si>
    <t xml:space="preserve">Carousel → Reel</t>
  </si>
  <si>
    <t xml:space="preserve">Time-cost revelation / Professional pain</t>
  </si>
  <si>
    <t xml:space="preserve">Breaks down the invisible cost agents don't track. The minute-by-minute format creates "I do that too" recognition at every slide. The 30 hrs/month conclusion reframes listing as an agency-wide cost problem, not just an inconvenience.</t>
  </si>
  <si>
    <t xml:space="preserve">20 listings/month = 30 hrs writing</t>
  </si>
  <si>
    <t xml:space="preserve">Carousel / Static</t>
  </si>
  <si>
    <t xml:space="preserve">Financial pain + Opportunity cost</t>
  </si>
  <si>
    <t xml:space="preserve">Converts time waste into AED (6,000/agent/month). Agency founders and CEOs respond to financial framing — this turns a workflow problem into a P&amp;L line item. The "multiply by your team size" line scales the pain.</t>
  </si>
  <si>
    <t xml:space="preserve">Aspiration + Revenue identity</t>
  </si>
  <si>
    <t xml:space="preserve">Reframes the agent's identity: you're a closer, not a writer. The 8-hour day comparison (5.5 hrs vs 7+ hrs selling) makes the ROI tangible. Combined with 840 agencies + 124K listings proof, it's both aspirational and credible.</t>
  </si>
  <si>
    <t xml:space="preserve">Static / Story</t>
  </si>
  <si>
    <t xml:space="preserve">Competitive fear / FOMO</t>
  </si>
  <si>
    <t xml:space="preserve">Direct threat to ego and revenue. "Same property. Different workflow. Different result." is devastatingly simple. The timestamp visual (14:32 vs 16:47) makes the gap visceral. Agents who've lost deals to faster competitors will feel this immediately.</t>
  </si>
  <si>
    <t xml:space="preserve">PHASE 2: AUDIENCE TARGETING — Instagram Only · UAE-Wide · Conversion-Optimized for Trial Signups</t>
  </si>
  <si>
    <t xml:space="preserve">MARKET REALITY &amp; TARGETING PHILOSOPHY</t>
  </si>
  <si>
    <t xml:space="preserve">Parameter</t>
  </si>
  <si>
    <t xml:space="preserve">Details</t>
  </si>
  <si>
    <t xml:space="preserve">Notes</t>
  </si>
  <si>
    <t xml:space="preserve">UAE Market Size</t>
  </si>
  <si>
    <t xml:space="preserve">~40,000 licensed RERA agents across all of UAE</t>
  </si>
  <si>
    <t xml:space="preserve">Source: RERA/DLD registry. This is the absolute ceiling.</t>
  </si>
  <si>
    <t xml:space="preserve">Meta Targetable Pool</t>
  </si>
  <si>
    <t xml:space="preserve">~15,000-30,000 agents actually reachable on Instagram via job title + interest filters</t>
  </si>
  <si>
    <t xml:space="preserve">Not every agent has a Meta profile matching targeting criteria</t>
  </si>
  <si>
    <t xml:space="preserve">Agency Decision-Makers</t>
  </si>
  <si>
    <t xml:space="preserve">~3,000-6,000 founders/CEOs/directors in UAE real estate</t>
  </si>
  <si>
    <t xml:space="preserve">Much smaller pool, but higher LTV per conversion</t>
  </si>
  <si>
    <t xml:space="preserve">Platform</t>
  </si>
  <si>
    <t xml:space="preserve">Instagram ONLY — Feed, Stories, Reels</t>
  </si>
  <si>
    <t xml:space="preserve">NO Facebook, NO Audience Network, NO Messenger. All budget on IG.</t>
  </si>
  <si>
    <t xml:space="preserve">Campaign Objective</t>
  </si>
  <si>
    <t xml:space="preserve">Conversions → "StartTrial" event (actual trial signups)</t>
  </si>
  <si>
    <t xml:space="preserve">NOT link clicks, NOT engagement, NOT leads. Optimize for completed signups ONLY.</t>
  </si>
  <si>
    <t xml:space="preserve">Location</t>
  </si>
  <si>
    <t xml:space="preserve">UAE-wide: Dubai, Abu Dhabi, Sharjah, Ajman, RAK, Fujairah, UAQ</t>
  </si>
  <si>
    <t xml:space="preserve">Not Dubai-only. Agents operate across all emirates.</t>
  </si>
  <si>
    <t xml:space="preserve">ROAS Philosophy</t>
  </si>
  <si>
    <t xml:space="preserve">Tight targeting &gt; broad reach. Every dirham to high-intent users only.</t>
  </si>
  <si>
    <t xml:space="preserve">Small audience + high relevance = lower CPL, higher trial-to-paid rate</t>
  </si>
  <si>
    <t xml:space="preserve">PRE-LAUNCH: META PIXEL &amp; CONVERSION SETUP (Do This Before Spending Any Budget)</t>
  </si>
  <si>
    <t xml:space="preserve">Step</t>
  </si>
  <si>
    <t xml:space="preserve">Action</t>
  </si>
  <si>
    <t xml:space="preserve">Why</t>
  </si>
  <si>
    <t xml:space="preserve">1</t>
  </si>
  <si>
    <t xml:space="preserve">Install Meta Pixel on ALL pages of enlista.io</t>
  </si>
  <si>
    <t xml:space="preserve">Required for conversion tracking and retargeting audiences</t>
  </si>
  <si>
    <t xml:space="preserve">2</t>
  </si>
  <si>
    <t xml:space="preserve">Create Custom Conversion: "StartTrial" event — fires on signup confirmation page</t>
  </si>
  <si>
    <t xml:space="preserve">This is the event Meta optimizes delivery toward. Without it, you cannot run Conversion campaigns.</t>
  </si>
  <si>
    <t xml:space="preserve">3</t>
  </si>
  <si>
    <t xml:space="preserve">Create Custom Conversion: "ViewPricing" — fires on /pricing page</t>
  </si>
  <si>
    <t xml:space="preserve">Secondary high-intent signal for retargeting even if they don't sign up yet</t>
  </si>
  <si>
    <t xml:space="preserve">4</t>
  </si>
  <si>
    <t xml:space="preserve">Test events in Meta Events Manager (use test mode)</t>
  </si>
  <si>
    <t xml:space="preserve">Confirm both events fire correctly before any ad spend</t>
  </si>
  <si>
    <t xml:space="preserve">5</t>
  </si>
  <si>
    <t xml:space="preserve">If &lt;50 pixel events exist: start with Traffic objective for 3-5 days first</t>
  </si>
  <si>
    <t xml:space="preserve">Meta needs ~50 conversion events to optimize. Seed with Traffic, then switch to Conversions.</t>
  </si>
  <si>
    <t xml:space="preserve">6</t>
  </si>
  <si>
    <t xml:space="preserve">Conversion Window: 7-day click, 1-day view</t>
  </si>
  <si>
    <t xml:space="preserve">Standard for SaaS trial signups</t>
  </si>
  <si>
    <t xml:space="preserve">SEGMENT A — Individual Agents (Realistic UAE Sizing)</t>
  </si>
  <si>
    <t xml:space="preserve">Job Titles</t>
  </si>
  <si>
    <t xml:space="preserve">Real Estate Agent, Property Consultant, Property Broker, Sales Agent, Leasing Agent, Real Estate Advisor</t>
  </si>
  <si>
    <t xml:space="preserve">Use EXACT match — "broad" matching inflates with irrelevant roles</t>
  </si>
  <si>
    <t xml:space="preserve">Industries</t>
  </si>
  <si>
    <t xml:space="preserve">Real Estate, Property Management</t>
  </si>
  <si>
    <t xml:space="preserve">AND condition with job titles — must match BOTH</t>
  </si>
  <si>
    <t xml:space="preserve">United Arab Emirates (all emirates)</t>
  </si>
  <si>
    <t xml:space="preserve">~60% agents Dubai-based, rest across Abu Dhabi, Sharjah, etc.</t>
  </si>
  <si>
    <t xml:space="preserve">Age Range</t>
  </si>
  <si>
    <t xml:space="preserve">25-55</t>
  </si>
  <si>
    <t xml:space="preserve">Excludes students and retirees who match interest targeting</t>
  </si>
  <si>
    <t xml:space="preserve">Language</t>
  </si>
  <si>
    <t xml:space="preserve">English OR Arabic</t>
  </si>
  <si>
    <t xml:space="preserve">Capture both expat agents and Emirati/GCC agents</t>
  </si>
  <si>
    <t xml:space="preserve">Interest Layer 1 (Must Match)</t>
  </si>
  <si>
    <t xml:space="preserve">Bayut OR Property Finder OR Dubizzle OR Dubai Land Department</t>
  </si>
  <si>
    <t xml:space="preserve">At least one portal/regulatory interest = active in UAE RE</t>
  </si>
  <si>
    <t xml:space="preserve">Interest Layer 2 (Narrow)</t>
  </si>
  <si>
    <t xml:space="preserve">CRM software OR Real estate investment OR Productivity tools</t>
  </si>
  <si>
    <t xml:space="preserve">Narrows to tech-aware agents likely to adopt SaaS</t>
  </si>
  <si>
    <t xml:space="preserve">Behaviors</t>
  </si>
  <si>
    <t xml:space="preserve">Small business owners, Technology early adopters</t>
  </si>
  <si>
    <t xml:space="preserve">Filters for agents who make their own tool decisions</t>
  </si>
  <si>
    <t xml:space="preserve">Exclusions</t>
  </si>
  <si>
    <t xml:space="preserve">Admin/Receptionist/Coordinator/Intern titles
Existing signups (Pixel Custom Audience)
Existing customers (CRM upload)</t>
  </si>
  <si>
    <t xml:space="preserve">Critical: exclude converters to stop wasting budget on them</t>
  </si>
  <si>
    <t xml:space="preserve">REALISTIC AUDIENCE SIZE</t>
  </si>
  <si>
    <t xml:space="preserve">12,000 - 25,000</t>
  </si>
  <si>
    <t xml:space="preserve">CORRECT for UAE. If Meta shows &gt;30K, targeting is too broad — tighten interests.</t>
  </si>
  <si>
    <t xml:space="preserve">Placement</t>
  </si>
  <si>
    <t xml:space="preserve">Instagram Feed + Stories + Reels ONLY</t>
  </si>
  <si>
    <t xml:space="preserve">Manual placement. Turn OFF everything else.</t>
  </si>
  <si>
    <t xml:space="preserve">Daily Budget</t>
  </si>
  <si>
    <t xml:space="preserve">AED 90-110/day (~40% of total)</t>
  </si>
  <si>
    <t xml:space="preserve">Largest segment, gets most budget</t>
  </si>
  <si>
    <t xml:space="preserve">Optimization Event</t>
  </si>
  <si>
    <t xml:space="preserve">"StartTrial" conversion</t>
  </si>
  <si>
    <t xml:space="preserve">Actual completed signups — NOT clicks</t>
  </si>
  <si>
    <t xml:space="preserve">SEGMENT B — Agency Founders &amp; CEOs (Realistic UAE Sizing)</t>
  </si>
  <si>
    <t xml:space="preserve">CEO, Founder, Co-Founder, Managing Director, Director, Owner, General Manager, Head of Sales, Principal Broker</t>
  </si>
  <si>
    <t xml:space="preserve">Decision-makers with budget authority</t>
  </si>
  <si>
    <t xml:space="preserve">Company Size</t>
  </si>
  <si>
    <t xml:space="preserve">1-50 employees</t>
  </si>
  <si>
    <t xml:space="preserve">Boutique/mid-size agencies — Enlista's sweet spot</t>
  </si>
  <si>
    <t xml:space="preserve">Real Estate, Property Development, Residential Real Estate, Commercial Real Estate</t>
  </si>
  <si>
    <t xml:space="preserve">Slightly broader industry since job titles are very specific</t>
  </si>
  <si>
    <t xml:space="preserve">Many agency HQs in Business Bay, DIFC, JLT, Abu Dhabi</t>
  </si>
  <si>
    <t xml:space="preserve">28-60</t>
  </si>
  <si>
    <t xml:space="preserve">Older skew — these are business owners</t>
  </si>
  <si>
    <t xml:space="preserve">Interest Layering</t>
  </si>
  <si>
    <t xml:space="preserve">PropTech OR Real estate technology OR Salesforce OR HubSpot OR Zoho
AND Business growth OR Entrepreneurship OR SaaS</t>
  </si>
  <si>
    <t xml:space="preserve">CRM-aware buyers = much higher intent</t>
  </si>
  <si>
    <t xml:space="preserve">Company size 500+ · Existing customers · Existing signups</t>
  </si>
  <si>
    <t xml:space="preserve">Large enterprises won't convert via IG ads</t>
  </si>
  <si>
    <t xml:space="preserve">3,000 - 8,000</t>
  </si>
  <si>
    <t xml:space="preserve">Small but HIGH value. If Meta shows &lt;1K, broaden industry. If &gt;15K, too broad.</t>
  </si>
  <si>
    <t xml:space="preserve">Instagram Feed + Stories only</t>
  </si>
  <si>
    <t xml:space="preserve">Reels less effective for C-suite audiences</t>
  </si>
  <si>
    <t xml:space="preserve">AED 60-80/day (~30% of total)</t>
  </si>
  <si>
    <t xml:space="preserve">Smaller audience, higher LTV per conversion</t>
  </si>
  <si>
    <t xml:space="preserve">Same as Segment A</t>
  </si>
  <si>
    <t xml:space="preserve">Messaging Note</t>
  </si>
  <si>
    <t xml:space="preserve">Speak to AGENCY-LEVEL pain: team cost, standardization, compliance risk, AED wasted per agent/month</t>
  </si>
  <si>
    <t xml:space="preserve">Different angle than agent messaging — this is P&amp;L and operations</t>
  </si>
  <si>
    <t xml:space="preserve">SEGMENT C — Retargeting (Activate Day 7+ · Highest ROAS Segment)</t>
  </si>
  <si>
    <t xml:space="preserve">Website Visitors</t>
  </si>
  <si>
    <t xml:space="preserve">All pages of enlista.io, last 30 days</t>
  </si>
  <si>
    <t xml:space="preserve">Pixel must be installed and verified</t>
  </si>
  <si>
    <t xml:space="preserve">Pricing Page Visitors</t>
  </si>
  <si>
    <t xml:space="preserve">/pricing visitors, last 14 days</t>
  </si>
  <si>
    <t xml:space="preserve">Highest intent — checked pricing but didn't sign up. Priority retarget.</t>
  </si>
  <si>
    <t xml:space="preserve">Video Viewers</t>
  </si>
  <si>
    <t xml:space="preserve">Watched 50%+ of any Enlista IG video ad</t>
  </si>
  <si>
    <t xml:space="preserve">Strong engagement signal</t>
  </si>
  <si>
    <t xml:space="preserve">IG Page Engagers</t>
  </si>
  <si>
    <t xml:space="preserve">Engaged with @enlista IG profile, last 60 days</t>
  </si>
  <si>
    <t xml:space="preserve">Liked, commented, saved, shared, or visited profile</t>
  </si>
  <si>
    <t xml:space="preserve">Signup Abandons</t>
  </si>
  <si>
    <t xml:space="preserve">Started trial signup but didn't complete</t>
  </si>
  <si>
    <t xml:space="preserve">Warmest non-converters — urgency messaging</t>
  </si>
  <si>
    <t xml:space="preserve">Messaging Shift</t>
  </si>
  <si>
    <t xml:space="preserve">Urgency + Social Proof + Direct CTA:
"840 agencies already switched"
"Your 14-day trial is waiting"
"Join 840 UAE agencies"</t>
  </si>
  <si>
    <t xml:space="preserve">These people already know Enlista — push to action, don't re-educate</t>
  </si>
  <si>
    <t xml:space="preserve">500 - 3,000 (builds over time)</t>
  </si>
  <si>
    <t xml:space="preserve">Starts tiny. Grows as prospecting drives traffic. This is expected.</t>
  </si>
  <si>
    <t xml:space="preserve">Instagram Feed + Stories + Reels</t>
  </si>
  <si>
    <t xml:space="preserve">All IG placements work for retargeting</t>
  </si>
  <si>
    <t xml:space="preserve">AED 30-50/day (~20% of total)</t>
  </si>
  <si>
    <t xml:space="preserve">Highest conversion rate but smallest pool. Scale as audience grows.</t>
  </si>
  <si>
    <t xml:space="preserve">Frequency Cap</t>
  </si>
  <si>
    <t xml:space="preserve">Max 3 impressions/person/7 days</t>
  </si>
  <si>
    <t xml:space="preserve">Small audience = frequency spikes fast. Cap it.</t>
  </si>
  <si>
    <t xml:space="preserve">Optimization</t>
  </si>
  <si>
    <t xml:space="preserve">"StartTrial" — or "Landing Page Views" if audience &lt;500</t>
  </si>
  <si>
    <t xml:space="preserve">Meta needs minimum audience to optimize for conversions</t>
  </si>
  <si>
    <t xml:space="preserve">AUDIENCE SIZE SANITY CHECK — If Meta Shows Different Numbers</t>
  </si>
  <si>
    <t xml:space="preserve">Scenario</t>
  </si>
  <si>
    <t xml:space="preserve">What It Means</t>
  </si>
  <si>
    <t xml:space="preserve">Segment A shows &gt; 30,000</t>
  </si>
  <si>
    <t xml:space="preserve">Targeting too broad — leaking into non-RE roles</t>
  </si>
  <si>
    <t xml:space="preserve">Add another interest layer OR narrow job titles to exact match</t>
  </si>
  <si>
    <t xml:space="preserve">Segment A shows &lt; 8,000</t>
  </si>
  <si>
    <t xml:space="preserve">Targeting too narrow</t>
  </si>
  <si>
    <t xml:space="preserve">Remove one interest layer OR switch interest AND→OR</t>
  </si>
  <si>
    <t xml:space="preserve">Segment B shows &gt; 15,000</t>
  </si>
  <si>
    <t xml:space="preserve">Leaking into non-RE decision-makers</t>
  </si>
  <si>
    <t xml:space="preserve">Tighten industry to "Real Estate" only, not "Business" broadly</t>
  </si>
  <si>
    <t xml:space="preserve">Segment B shows &lt; 1,500</t>
  </si>
  <si>
    <t xml:space="preserve">Normal for this niche</t>
  </si>
  <si>
    <t xml:space="preserve">Keep running — Meta can optimize with small audiences if signal is strong</t>
  </si>
  <si>
    <t xml:space="preserve">Any segment says "Audience too small"</t>
  </si>
  <si>
    <t xml:space="preserve">Below Meta's delivery threshold</t>
  </si>
  <si>
    <t xml:space="preserve">Broaden to GCC (Saudi, Bahrain, Qatar) OR remove one narrowing layer</t>
  </si>
  <si>
    <t xml:space="preserve">PHASE 3: DUAL CAMPAIGN ARCHITECTURE — Conversions (Trial) + Leads (Enterprise)</t>
  </si>
  <si>
    <t xml:space="preserve">CAMPAIGN OVERVIEW — Two Campaigns, Two Objectives</t>
  </si>
  <si>
    <t xml:space="preserve">Campaign</t>
  </si>
  <si>
    <t xml:space="preserve">Objective</t>
  </si>
  <si>
    <t xml:space="preserve">Target Segments</t>
  </si>
  <si>
    <t xml:space="preserve">Goal</t>
  </si>
  <si>
    <t xml:space="preserve">Budget Split</t>
  </si>
  <si>
    <t xml:space="preserve">Landing Destination</t>
  </si>
  <si>
    <t xml:space="preserve">CAMPAIGN 1
"Trial Signup"</t>
  </si>
  <si>
    <t xml:space="preserve">Conversions →
"StartTrial" event</t>
  </si>
  <si>
    <t xml:space="preserve">Segment A (Agents)
Segment B1 (SMB Founders)</t>
  </si>
  <si>
    <t xml:space="preserve">Get individual agents + small agency founders to start a 14-day free trial via self-serve signup</t>
  </si>
  <si>
    <t xml:space="preserve">~65% of budget
AED 4,500-5,000/mo</t>
  </si>
  <si>
    <t xml:space="preserve">enlista.io/trial
(dedicated signup page)</t>
  </si>
  <si>
    <t xml:space="preserve">CAMPAIGN 2
"Enterprise Leads"</t>
  </si>
  <si>
    <t xml:space="preserve">Leads →
Instant Form or
Demo Booking</t>
  </si>
  <si>
    <t xml:space="preserve">Segment B2 (Enterprise
Founders/CEOs/Directors)</t>
  </si>
  <si>
    <t xml:space="preserve">Capture enterprise leads: name, email, phone, agency size — for sales team follow-up on team/agency plans</t>
  </si>
  <si>
    <t xml:space="preserve">~20% of budget
AED 1,500-2,000/mo</t>
  </si>
  <si>
    <t xml:space="preserve">Meta Instant Form
(pre-filled, in-app)
OR enlista.io/enterprise</t>
  </si>
  <si>
    <t xml:space="preserve">RETARGETING
(Both campaigns)</t>
  </si>
  <si>
    <t xml:space="preserve">Conversions →
"StartTrial" OR Lead</t>
  </si>
  <si>
    <t xml:space="preserve">Segment C
(all warm audiences)</t>
  </si>
  <si>
    <t xml:space="preserve">Re-engage website visitors, video viewers, IG engagers with urgency messaging</t>
  </si>
  <si>
    <t xml:space="preserve">~15% of budget
AED 1,000-1,500/mo</t>
  </si>
  <si>
    <t xml:space="preserve">Both destinations
(match original intent)</t>
  </si>
  <si>
    <t xml:space="preserve">CRITICAL SETTINGS — Apply to Both Campaigns</t>
  </si>
  <si>
    <t xml:space="preserve">Setting</t>
  </si>
  <si>
    <t xml:space="preserve">Campaign 1 (Conversions)</t>
  </si>
  <si>
    <t xml:space="preserve">Campaign 2 (Leads)</t>
  </si>
  <si>
    <t xml:space="preserve">Conversions → "StartTrial" event</t>
  </si>
  <si>
    <t xml:space="preserve">Lead Generation → Instant Form (or Conversions → "BookDemo" event)</t>
  </si>
  <si>
    <t xml:space="preserve">Conversion Window</t>
  </si>
  <si>
    <t xml:space="preserve">7-day click, 1-day view</t>
  </si>
  <si>
    <t xml:space="preserve">Placements</t>
  </si>
  <si>
    <t xml:space="preserve">IG Feed + Stories + Reels ONLY</t>
  </si>
  <si>
    <t xml:space="preserve">IG Feed + Stories ONLY (no Reels for enterprise)</t>
  </si>
  <si>
    <t xml:space="preserve">Budget Type</t>
  </si>
  <si>
    <t xml:space="preserve">Ad Set Budget (NOT CBO)</t>
  </si>
  <si>
    <t xml:space="preserve">Bid Strategy</t>
  </si>
  <si>
    <t xml:space="preserve">Lowest Cost → Cost Cap at AED 30 after 50 signups</t>
  </si>
  <si>
    <t xml:space="preserve">Lowest Cost → Cost Cap at AED 80 after 20 leads</t>
  </si>
  <si>
    <t xml:space="preserve">Landing Page</t>
  </si>
  <si>
    <t xml:space="preserve">enlista.io/trial — zero distractions, signup only</t>
  </si>
  <si>
    <t xml:space="preserve">Meta Instant Form with 4-5 fields (name, email, phone, agency size, # agents)
OR enlista.io/enterprise with demo booking</t>
  </si>
  <si>
    <t xml:space="preserve">CAMPAIGN 1: CONVERSIONS → TRIAL SIGNUPS (Self-Serve)</t>
  </si>
  <si>
    <t xml:space="preserve">Ad Set</t>
  </si>
  <si>
    <t xml:space="preserve">Audience</t>
  </si>
  <si>
    <t xml:space="preserve">Real Size</t>
  </si>
  <si>
    <t xml:space="preserve">Ad</t>
  </si>
  <si>
    <t xml:space="preserve">Source Post</t>
  </si>
  <si>
    <t xml:space="preserve">IG Format</t>
  </si>
  <si>
    <t xml:space="preserve">Go-Live</t>
  </si>
  <si>
    <t xml:space="preserve">Ad Set 1A</t>
  </si>
  <si>
    <t xml:space="preserve">Individual Agents
(Segment A)</t>
  </si>
  <si>
    <t xml:space="preserve">12K-25K</t>
  </si>
  <si>
    <t xml:space="preserve">AED 100/day</t>
  </si>
  <si>
    <t xml:space="preserve">Ad 1</t>
  </si>
  <si>
    <t xml:space="preserve">Post 07 — RERA suspended</t>
  </si>
  <si>
    <t xml:space="preserve">Carousel (Feed)</t>
  </si>
  <si>
    <t xml:space="preserve">Day 1</t>
  </si>
  <si>
    <t xml:space="preserve">Ad 2</t>
  </si>
  <si>
    <t xml:space="preserve">Post 05 — 90 min breakdown</t>
  </si>
  <si>
    <t xml:space="preserve">Reel (15-30s)</t>
  </si>
  <si>
    <t xml:space="preserve">Ad 3</t>
  </si>
  <si>
    <t xml:space="preserve">Post 06 — Competitor ahead</t>
  </si>
  <si>
    <t xml:space="preserve">Story (image)</t>
  </si>
  <si>
    <t xml:space="preserve">Ad Set 1B</t>
  </si>
  <si>
    <t xml:space="preserve">SMB Founders
(Segment B1:
1-20 employees)</t>
  </si>
  <si>
    <t xml:space="preserve">2K-5K</t>
  </si>
  <si>
    <t xml:space="preserve">AED 60/day</t>
  </si>
  <si>
    <t xml:space="preserve">Ad 4</t>
  </si>
  <si>
    <t xml:space="preserve">Post 20 — AED 6K wasted/agent</t>
  </si>
  <si>
    <t xml:space="preserve">Ad 5</t>
  </si>
  <si>
    <t xml:space="preserve">Post 22 — 720x faster</t>
  </si>
  <si>
    <t xml:space="preserve">Feed (image)</t>
  </si>
  <si>
    <t xml:space="preserve">CAMPAIGN 2: LEADS → ENTERPRISE DEMO/CONSULTATION (Sales-Assisted)</t>
  </si>
  <si>
    <t xml:space="preserve">Segment B2 — Enterprise Founders/CEOs (New Segment)</t>
  </si>
  <si>
    <t xml:space="preserve">CEO, Founder, Managing Director, COO, Head of Operations, VP Sales, General Manager</t>
  </si>
  <si>
    <t xml:space="preserve">Senior decision-makers only — these are team-plan buyers</t>
  </si>
  <si>
    <t xml:space="preserve">10-200 employees</t>
  </si>
  <si>
    <t xml:space="preserve">Mid-to-large agencies: big enough to need team plans, not so big they have custom solutions</t>
  </si>
  <si>
    <t xml:space="preserve">Real Estate, Property Development, Real Estate Brokerage</t>
  </si>
  <si>
    <t xml:space="preserve">Tighter than Segment B1</t>
  </si>
  <si>
    <t xml:space="preserve">UAE (all emirates)</t>
  </si>
  <si>
    <t xml:space="preserve">Same as other segments</t>
  </si>
  <si>
    <t xml:space="preserve">Business management OR SaaS OR PropTech OR CRM
AND Real estate technology OR Property management software</t>
  </si>
  <si>
    <t xml:space="preserve">CRM-aware, tech-spending decision-makers</t>
  </si>
  <si>
    <t xml:space="preserve">Existing Enlista customers
Company size 1-9 (too small for enterprise)
Existing trial signups (they're already in Campaign 1 funnel)</t>
  </si>
  <si>
    <t xml:space="preserve">Critical: don't spend lead-gen budget on people who should self-serve</t>
  </si>
  <si>
    <t xml:space="preserve">1,500 - 4,000</t>
  </si>
  <si>
    <t xml:space="preserve">Very small, very high value. Each converted enterprise lead = 10-50 agent seats.</t>
  </si>
  <si>
    <t xml:space="preserve">Lead Form Fields</t>
  </si>
  <si>
    <t xml:space="preserve">1. Full Name (pre-filled)
2. Email (pre-filled)
3. Phone Number
4. Agency Name
5. How many agents in your team?</t>
  </si>
  <si>
    <t xml:space="preserve">Use Meta Instant Form — pre-fills from profile, reduces friction. Keep to 5 fields max.</t>
  </si>
  <si>
    <t xml:space="preserve">Lead Qualification</t>
  </si>
  <si>
    <t xml:space="preserve">Set "Higher Intent" form type in Meta
(adds a review screen before submit)</t>
  </si>
  <si>
    <t xml:space="preserve">Filters out accidental clicks. Fewer but better-quality leads.</t>
  </si>
  <si>
    <t xml:space="preserve">Creative Concept</t>
  </si>
  <si>
    <t xml:space="preserve">Ad Set 2A</t>
  </si>
  <si>
    <t xml:space="preserve">Enterprise
Founders/CEOs
(Segment B2)</t>
  </si>
  <si>
    <t xml:space="preserve">1.5K-4K</t>
  </si>
  <si>
    <t xml:space="preserve">AED 55/day</t>
  </si>
  <si>
    <t xml:space="preserve">Ad E1</t>
  </si>
  <si>
    <t xml:space="preserve">ROI Calculator angle:
"Your 15 agents spend 450 hrs/mo writing listings.
That's AED 90K in lost productivity."</t>
  </si>
  <si>
    <t xml:space="preserve">Ad E2</t>
  </si>
  <si>
    <t xml:space="preserve">Case Study angle:
"How a 50-agent agency cut listing time by 720x
and eliminated RERA suspensions"</t>
  </si>
  <si>
    <t xml:space="preserve">Ad E3</t>
  </si>
  <si>
    <t xml:space="preserve">Standardization angle:
"Your best agent's listings look great.
Your worst agent's? Enlista makes them all great."</t>
  </si>
  <si>
    <t xml:space="preserve">Day 7</t>
  </si>
  <si>
    <t xml:space="preserve">ENTERPRISE LEAD FOLLOW-UP WORKFLOW (Critical — Leads Are Worthless Without This)</t>
  </si>
  <si>
    <t xml:space="preserve">Timing</t>
  </si>
  <si>
    <t xml:space="preserve">0-5 minutes</t>
  </si>
  <si>
    <t xml:space="preserve">Auto-send WhatsApp/SMS: "Thanks [Name], we received your request. An Enlista specialist will call you within the hour."</t>
  </si>
  <si>
    <t xml:space="preserve">Speed of follow-up is EVERYTHING. Set up Zapier/Make automation from Meta Lead Form → WhatsApp.</t>
  </si>
  <si>
    <t xml:space="preserve">Within 1 hour</t>
  </si>
  <si>
    <t xml:space="preserve">Personal call from sales: qualify the lead. Confirm agency size, current workflow, pain points.</t>
  </si>
  <si>
    <t xml:space="preserve">Ask: "How many agents do you have?" and "How are you handling listing copy today?" — these qualify enterprise fit.</t>
  </si>
  <si>
    <t xml:space="preserve">Within 24 hours</t>
  </si>
  <si>
    <t xml:space="preserve">Send personalized demo link or book a live demo call</t>
  </si>
  <si>
    <t xml:space="preserve">Use Calendly or similar. Make it frictionless to book.</t>
  </si>
  <si>
    <t xml:space="preserve">Day 3 (if no response)</t>
  </si>
  <si>
    <t xml:space="preserve">Follow-up WhatsApp: "Hi [Name], just checking in — would a 10-minute demo this week work?"</t>
  </si>
  <si>
    <t xml:space="preserve">Keep it short. Don't send long emails to Dubai RE professionals — WhatsApp is king.</t>
  </si>
  <si>
    <t xml:space="preserve">Day 7 (if no response)</t>
  </si>
  <si>
    <t xml:space="preserve">Final follow-up with a case study: "Here's how [Agency] saved 30 hrs/agent/month"</t>
  </si>
  <si>
    <t xml:space="preserve">Attach the 720x case study as a proof point. Then stop — don't spam.</t>
  </si>
  <si>
    <t xml:space="preserve">RETARGETING — Serves Both Campaigns (Activate Day 7+)</t>
  </si>
  <si>
    <t xml:space="preserve">Creative</t>
  </si>
  <si>
    <t xml:space="preserve">Destination</t>
  </si>
  <si>
    <t xml:space="preserve">Ad Set RT-1</t>
  </si>
  <si>
    <t xml:space="preserve">Trial retarget:
Site visitors +
IG engagers +
Video viewers</t>
  </si>
  <si>
    <t xml:space="preserve">500-3K
(grows)</t>
  </si>
  <si>
    <t xml:space="preserve">AED 35/day</t>
  </si>
  <si>
    <t xml:space="preserve">Ad RT1</t>
  </si>
  <si>
    <t xml:space="preserve">Post 30 — "840 agencies switched"
Direct CTA: "Start your free trial"</t>
  </si>
  <si>
    <t xml:space="preserve">Story</t>
  </si>
  <si>
    <t xml:space="preserve">enlista.io/trial</t>
  </si>
  <si>
    <t xml:space="preserve">Ad RT2</t>
  </si>
  <si>
    <t xml:space="preserve">Post 22 — Testimonial quote
"Two days to four minutes"</t>
  </si>
  <si>
    <t xml:space="preserve">Feed</t>
  </si>
  <si>
    <t xml:space="preserve">Ad Set RT-2</t>
  </si>
  <si>
    <t xml:space="preserve">Enterprise retarget:
Pricing page visitors +
Lead form abandons</t>
  </si>
  <si>
    <t xml:space="preserve">100-500
(very small)</t>
  </si>
  <si>
    <t xml:space="preserve">AED 20/day</t>
  </si>
  <si>
    <t xml:space="preserve">Ad RT3</t>
  </si>
  <si>
    <t xml:space="preserve">"Still thinking about rolling out Enlista
across your agency? Book a 10-min demo."</t>
  </si>
  <si>
    <t xml:space="preserve">Instant Form
or /enterprise</t>
  </si>
  <si>
    <t xml:space="preserve">A/B TESTING — Separate Tracks per Campaign</t>
  </si>
  <si>
    <t xml:space="preserve">Round</t>
  </si>
  <si>
    <t xml:space="preserve">Campaign 1 (Conversions) Test</t>
  </si>
  <si>
    <t xml:space="preserve">Campaign 2 (Leads) Test</t>
  </si>
  <si>
    <t xml:space="preserve">Duration</t>
  </si>
  <si>
    <t xml:space="preserve">Min Signal Before Decision</t>
  </si>
  <si>
    <t xml:space="preserve">Round 1
(Week 1-2)</t>
  </si>
  <si>
    <t xml:space="preserve">IG Format: Carousel vs Reel vs Story</t>
  </si>
  <si>
    <t xml:space="preserve">Instant Form vs Landing Page
(which gets more qualified leads)</t>
  </si>
  <si>
    <t xml:space="preserve">5 days</t>
  </si>
  <si>
    <t xml:space="preserve">C1: 10+ signups/variant
C2: 5+ leads/variant</t>
  </si>
  <si>
    <t xml:space="preserve">Round 2
(Week 2-3)</t>
  </si>
  <si>
    <t xml:space="preserve">Hook: Pain-point vs Benefit vs Question</t>
  </si>
  <si>
    <t xml:space="preserve">Creative: ROI Calculator vs Case Study vs Standardization</t>
  </si>
  <si>
    <t xml:space="preserve">Round 3
(Week 3-4)</t>
  </si>
  <si>
    <t xml:space="preserve">CTA: "Start Free Trial" vs "Try Free 14 Days"</t>
  </si>
  <si>
    <t xml:space="preserve">Form Length: 3 fields vs 5 fields
(quality vs volume tradeoff)</t>
  </si>
  <si>
    <t xml:space="preserve">Round 4
(Month 2)</t>
  </si>
  <si>
    <t xml:space="preserve">Landing page: full page vs direct form</t>
  </si>
  <si>
    <t xml:space="preserve">Offer: "Free demo" vs "Free agency audit" vs "Custom pricing"</t>
  </si>
  <si>
    <t xml:space="preserve">7 days</t>
  </si>
  <si>
    <t xml:space="preserve">C1: 15+ signups/variant
C2: 8+ leads/variant</t>
  </si>
  <si>
    <t xml:space="preserve">BUDGET SUMMARY — Dual Campaign Split</t>
  </si>
  <si>
    <t xml:space="preserve">Component</t>
  </si>
  <si>
    <t xml:space="preserve">Monthly Budget</t>
  </si>
  <si>
    <t xml:space="preserve">% of Total</t>
  </si>
  <si>
    <t xml:space="preserve">Campaign 1 — Ad Set 1A (Agents)</t>
  </si>
  <si>
    <t xml:space="preserve">AED 3,000</t>
  </si>
  <si>
    <t xml:space="preserve">AED 100</t>
  </si>
  <si>
    <t xml:space="preserve">Trial Signups</t>
  </si>
  <si>
    <t xml:space="preserve">40%</t>
  </si>
  <si>
    <t xml:space="preserve">Campaign 1 — Ad Set 1B (SMB Founders)</t>
  </si>
  <si>
    <t xml:space="preserve">AED 1,800</t>
  </si>
  <si>
    <t xml:space="preserve">AED 60</t>
  </si>
  <si>
    <t xml:space="preserve">24%</t>
  </si>
  <si>
    <t xml:space="preserve">Campaign 2 — Ad Set 2A (Enterprise)</t>
  </si>
  <si>
    <t xml:space="preserve">AED 1,650</t>
  </si>
  <si>
    <t xml:space="preserve">AED 55</t>
  </si>
  <si>
    <t xml:space="preserve">Enterprise Leads</t>
  </si>
  <si>
    <t xml:space="preserve">22%</t>
  </si>
  <si>
    <t xml:space="preserve">Retargeting — RT-1 + RT-2</t>
  </si>
  <si>
    <t xml:space="preserve">AED 1,050</t>
  </si>
  <si>
    <t xml:space="preserve">AED 35</t>
  </si>
  <si>
    <t xml:space="preserve">Both</t>
  </si>
  <si>
    <t xml:space="preserve">14%</t>
  </si>
  <si>
    <t xml:space="preserve">TOTAL</t>
  </si>
  <si>
    <t xml:space="preserve">AED 7,500</t>
  </si>
  <si>
    <t xml:space="preserve">AED 250</t>
  </si>
  <si>
    <t xml:space="preserve">—</t>
  </si>
  <si>
    <t xml:space="preserve">100%</t>
  </si>
  <si>
    <t xml:space="preserve">PHASE 4: AUTOMATED OPTIMIZATION — Signup-Focused · ROAS-Maximized</t>
  </si>
  <si>
    <t xml:space="preserve">KEY METRICS — Optimize for Trial Signups, Not Vanity Metrics</t>
  </si>
  <si>
    <t xml:space="preserve">Metric</t>
  </si>
  <si>
    <t xml:space="preserve">Target (Green)</t>
  </si>
  <si>
    <t xml:space="preserve">Warning (Amber)</t>
  </si>
  <si>
    <t xml:space="preserve">Kill (Red)</t>
  </si>
  <si>
    <t xml:space="preserve">Cost Per Trial Signup</t>
  </si>
  <si>
    <t xml:space="preserve">&lt; AED 25</t>
  </si>
  <si>
    <t xml:space="preserve">AED 25-40</t>
  </si>
  <si>
    <t xml:space="preserve">&gt; AED 50</t>
  </si>
  <si>
    <t xml:space="preserve">Scale / Monitor / Pause</t>
  </si>
  <si>
    <t xml:space="preserve">CTR (Link Click)</t>
  </si>
  <si>
    <t xml:space="preserve">&gt; 1.5%</t>
  </si>
  <si>
    <t xml:space="preserve">0.8%-1.5%</t>
  </si>
  <si>
    <t xml:space="preserve">&lt; 0.8%</t>
  </si>
  <si>
    <t xml:space="preserve">Keep / Test hook / Kill creative</t>
  </si>
  <si>
    <t xml:space="preserve">Landing Page → Signup %</t>
  </si>
  <si>
    <t xml:space="preserve">&gt; 15%</t>
  </si>
  <si>
    <t xml:space="preserve">8%-15%</t>
  </si>
  <si>
    <t xml:space="preserve">&lt; 8%</t>
  </si>
  <si>
    <t xml:space="preserve">Good / Optimize page / Rebuild page</t>
  </si>
  <si>
    <t xml:space="preserve">Frequency (per 7 days)</t>
  </si>
  <si>
    <t xml:space="preserve">&lt; 2.5</t>
  </si>
  <si>
    <t xml:space="preserve">2.5-4.0</t>
  </si>
  <si>
    <t xml:space="preserve">&gt; 4.0</t>
  </si>
  <si>
    <t xml:space="preserve">Healthy / Watch / Rotate creative NOW</t>
  </si>
  <si>
    <t xml:space="preserve">ROAS Proxy</t>
  </si>
  <si>
    <t xml:space="preserve">&gt; 1 signup/AED 25</t>
  </si>
  <si>
    <t xml:space="preserve">1 per AED 25-40</t>
  </si>
  <si>
    <t xml:space="preserve">&lt; 1 per AED 50</t>
  </si>
  <si>
    <t xml:space="preserve">Scale / Hold / Reallocate</t>
  </si>
  <si>
    <t xml:space="preserve">RULE 1: SCALE WINNERS</t>
  </si>
  <si>
    <t xml:space="preserve">Rule</t>
  </si>
  <si>
    <t xml:space="preserve">Trigger Conditions</t>
  </si>
  <si>
    <t xml:space="preserve">Constraints</t>
  </si>
  <si>
    <t xml:space="preserve">Implement In</t>
  </si>
  <si>
    <t xml:space="preserve">Scale — Low CPL</t>
  </si>
  <si>
    <t xml:space="preserve">Cost/Signup &lt; AED 25
AND Signups &gt; 3
AND Days &gt; 4</t>
  </si>
  <si>
    <t xml:space="preserve">Increase daily budget +20%</t>
  </si>
  <si>
    <t xml:space="preserve">Max 1 increase per 72 hrs (small audience needs time)
Never &gt;2x original without manual review</t>
  </si>
  <si>
    <t xml:space="preserve">Meta Automated Rules</t>
  </si>
  <si>
    <t xml:space="preserve">Scale — Strong CTR</t>
  </si>
  <si>
    <t xml:space="preserve">CTR &gt; 2.0%
AND Signups &gt; 2 in last 3 days
AND Frequency &lt; 3.0</t>
  </si>
  <si>
    <t xml:space="preserve">Increase daily budget +15%</t>
  </si>
  <si>
    <t xml:space="preserve">Watch frequency — scaling small audiences drives frequency up fast</t>
  </si>
  <si>
    <t xml:space="preserve">RULE 2: PAUSE LOSERS</t>
  </si>
  <si>
    <t xml:space="preserve">Pause — High CPL</t>
  </si>
  <si>
    <t xml:space="preserve">Cost/Signup &gt; AED 50 (2x target)
AND Impressions &gt; 1,500
AND Days &gt; 5</t>
  </si>
  <si>
    <t xml:space="preserve">Pause THE AD (not ad set)
Replace from creative queue</t>
  </si>
  <si>
    <t xml:space="preserve">Only pause the underperforming ad, keep the ad set alive</t>
  </si>
  <si>
    <t xml:space="preserve">Pause — Zero Signups</t>
  </si>
  <si>
    <t xml:space="preserve">0 signups AND Spend &gt; AED 75
AND Days &gt; 4</t>
  </si>
  <si>
    <t xml:space="preserve">Pause ad immediately</t>
  </si>
  <si>
    <t xml:space="preserve">AED 75 with 0 signups = creative not converting. Don't wait.</t>
  </si>
  <si>
    <t xml:space="preserve">Pause — Frequency Burn</t>
  </si>
  <si>
    <t xml:space="preserve">Frequency &gt; 4.0
AND CTR dropped 25%+ from baseline</t>
  </si>
  <si>
    <t xml:space="preserve">Pause ad, rotate fresh creative</t>
  </si>
  <si>
    <t xml:space="preserve">CRITICAL in small audiences. 12K-25K pools burn fast.</t>
  </si>
  <si>
    <t xml:space="preserve">Manual (daily check)</t>
  </si>
  <si>
    <t xml:space="preserve">RULE 3: BUDGET REALLOCATION (Weekly Manual Review)</t>
  </si>
  <si>
    <t xml:space="preserve">Realloc — Segment Winner</t>
  </si>
  <si>
    <t xml:space="preserve">Segment A CPL &lt; 60% of Segment B
AND both 7+ days
AND both 5+ signups</t>
  </si>
  <si>
    <t xml:space="preserve">Shift 25% of loser budget → winner</t>
  </si>
  <si>
    <t xml:space="preserve">Keep losing segment at min AED 30/day
Check if signup QUALITY differs (trial→paid rate)</t>
  </si>
  <si>
    <t xml:space="preserve">Manual weekly</t>
  </si>
  <si>
    <t xml:space="preserve">Realloc — Retargeting Up</t>
  </si>
  <si>
    <t xml:space="preserve">Retargeting CPL &lt; 50% of prospecting
AND retargeting audience &gt; 1,000</t>
  </si>
  <si>
    <t xml:space="preserve">Increase retarget budget +30%
Fund from worst prospecting set</t>
  </si>
  <si>
    <t xml:space="preserve">Don't exceed AED 80/day retargeting — frequency will spike</t>
  </si>
  <si>
    <t xml:space="preserve">CREATIVE REFRESH QUEUE — When Ads Fatigue, Pull From Here</t>
  </si>
  <si>
    <t xml:space="preserve">Priority</t>
  </si>
  <si>
    <t xml:space="preserve">Post</t>
  </si>
  <si>
    <t xml:space="preserve">Score (/70)</t>
  </si>
  <si>
    <t xml:space="preserve">Replace Which Ad</t>
  </si>
  <si>
    <t xml:space="preserve">Next up</t>
  </si>
  <si>
    <t xml:space="preserve">Post 10 — 5 listing mistakes</t>
  </si>
  <si>
    <t xml:space="preserve">60</t>
  </si>
  <si>
    <t xml:space="preserve">Any paused pain-point ad (1A, 1B, 1C)</t>
  </si>
  <si>
    <t xml:space="preserve">2nd</t>
  </si>
  <si>
    <t xml:space="preserve">Post 18 — Manual vs Enlista week</t>
  </si>
  <si>
    <t xml:space="preserve">59</t>
  </si>
  <si>
    <t xml:space="preserve">Any paused speed/ROI ad (2A, 2B, 2C)</t>
  </si>
  <si>
    <t xml:space="preserve">3rd</t>
  </si>
  <si>
    <t xml:space="preserve">Post 17 — WhatsApp bot</t>
  </si>
  <si>
    <t xml:space="preserve">57</t>
  </si>
  <si>
    <t xml:space="preserve">Any paused feature ad</t>
  </si>
  <si>
    <t xml:space="preserve">4th</t>
  </si>
  <si>
    <t xml:space="preserve">Post 29 — 7 stages of manual listing</t>
  </si>
  <si>
    <t xml:space="preserve">56</t>
  </si>
  <si>
    <t xml:space="preserve">Any paused relatable/pain ad</t>
  </si>
  <si>
    <t xml:space="preserve">5th</t>
  </si>
  <si>
    <t xml:space="preserve">Post 24 — 5 agencies, 5 use cases</t>
  </si>
  <si>
    <t xml:space="preserve">Any paused social proof ad</t>
  </si>
  <si>
    <t xml:space="preserve">SPEND MILESTONES — Decision Checkpoints</t>
  </si>
  <si>
    <t xml:space="preserve">Milestone</t>
  </si>
  <si>
    <t xml:space="preserve">Check</t>
  </si>
  <si>
    <t xml:space="preserve">Decision Framework</t>
  </si>
  <si>
    <t xml:space="preserve">Next Step</t>
  </si>
  <si>
    <t xml:space="preserve">AED 500 (~Day 2-3)</t>
  </si>
  <si>
    <t xml:space="preserve">Pixel firing?
Conversions tracking?
CPM &amp; CTR per ad?</t>
  </si>
  <si>
    <t xml:space="preserve">If 0 conversions + CTR &gt;1%: landing page problem
If 0 conversions + CTR &lt;0.5%: creative problem
If tracking works: proceed</t>
  </si>
  <si>
    <t xml:space="preserve">Fix tracking issues before more spend</t>
  </si>
  <si>
    <t xml:space="preserve">AED 1,500 (~Day 7)</t>
  </si>
  <si>
    <t xml:space="preserve">CPL per ad set
Activate retargeting
First snapshot</t>
  </si>
  <si>
    <t xml:space="preserve">Pause ads with 0 conversions
Scale ads with CPL &lt; AED 25
Activate Segment C retargeting</t>
  </si>
  <si>
    <t xml:space="preserve">Begin Round 1 A/B test</t>
  </si>
  <si>
    <t xml:space="preserve">AED 3,500 (~Day 14)</t>
  </si>
  <si>
    <t xml:space="preserve">2-week review
Segment A vs B
Signup→active rate</t>
  </si>
  <si>
    <t xml:space="preserve">Reallocate toward winning segment
Kill bottom 2 ads, replace from queue
If overall CPL &gt;AED 40: rethink targeting+creative</t>
  </si>
  <si>
    <t xml:space="preserve">Round 2 A/B test
Build LAL if 50+ signups</t>
  </si>
  <si>
    <t xml:space="preserve">AED 7,500 (~Day 30)</t>
  </si>
  <si>
    <t xml:space="preserve">Monthly report
True CAC (signup→paid)
Rank all creatives</t>
  </si>
  <si>
    <t xml:space="preserve">Set Month 2 budget from results
Double winning segment
Plan creative refresh</t>
  </si>
  <si>
    <t xml:space="preserve">Phase 6 report
Month 2 strategy</t>
  </si>
  <si>
    <t xml:space="preserve">CAMPAIGN 2 (ENTERPRISE LEADS) — Additional Rules</t>
  </si>
  <si>
    <t xml:space="preserve">Cost/Lead &lt; AED 60
AND Leads &gt; 3
AND Days &gt; 5</t>
  </si>
  <si>
    <t xml:space="preserve">Increase budget +20%</t>
  </si>
  <si>
    <t xml:space="preserve">Enterprise CPL target is AED 60-80 (higher than trial, but each lead = potential 10-50 seats)
Max 1 increase per 72hrs</t>
  </si>
  <si>
    <t xml:space="preserve">Pause — Junk Leads</t>
  </si>
  <si>
    <t xml:space="preserve">Lead Quality Score &lt; 30%
(manual review: wrong industry, wrong role, fake info)</t>
  </si>
  <si>
    <t xml:space="preserve">Pause ad
Switch to "Higher Intent" form
Tighten job title targeting</t>
  </si>
  <si>
    <t xml:space="preserve">Check lead quality MANUALLY every 3 days. Low-quality leads at AED 60 each drain budget fast.</t>
  </si>
  <si>
    <t xml:space="preserve">Manual review</t>
  </si>
  <si>
    <t xml:space="preserve">Cost/Lead &gt; AED 150
AND Days &gt; 5
AND Leads &lt; 2</t>
  </si>
  <si>
    <t xml:space="preserve">Pause ad, test new creative</t>
  </si>
  <si>
    <t xml:space="preserve">AED 150/lead with &lt;2 leads = creative or audience problem</t>
  </si>
  <si>
    <t xml:space="preserve">Scale — Quality Leads</t>
  </si>
  <si>
    <t xml:space="preserve">Lead-to-demo rate &gt; 30%
AND Demo-to-close rate tracking</t>
  </si>
  <si>
    <t xml:space="preserve">Increase budget +25%
Expand to GCC if UAE audience saturated</t>
  </si>
  <si>
    <t xml:space="preserve">This is your best signal — quality matters more than quantity for enterprise</t>
  </si>
  <si>
    <t xml:space="preserve">ENLISTA — PHASE 5: AD COPY TRANSFORMATION (Top 6 Posts)</t>
  </si>
  <si>
    <t xml:space="preserve">Post 07 — RERA Suspended Your Listing</t>
  </si>
  <si>
    <t xml:space="preserve">Element</t>
  </si>
  <si>
    <t xml:space="preserve">Variant A — Emotional / Pain-Point</t>
  </si>
  <si>
    <t xml:space="preserve">Variant B — Rational / Outcome</t>
  </si>
  <si>
    <t xml:space="preserve">Primary Text
(Above image)</t>
  </si>
  <si>
    <t xml:space="preserve">Your listing just got suspended. 11pm. Friday night.
Expired DLD permit. Missing RERA field. One wrong number — and you're offline for 48 hours while your competitor takes the enquiry.
Enlista checks every listing for RERA compliance before you paste a single word. DLD permits. Agent licences. Portal fields. All verified.
No more Friday night surprises.</t>
  </si>
  <si>
    <t xml:space="preserve">The 3 most common RERA suspension triggers — and how 840 UAE agencies avoid all of them.
1. Expired DLD permit
2. Missing portal fields
3. Incorrect agent licence
Enlista auto-checks every listing before the copy is ready to paste. Zero suspensions. Zero delays. Zero compliance flags.
Join 840 agencies already protected.</t>
  </si>
  <si>
    <t xml:space="preserve">Headline
(Below image)</t>
  </si>
  <si>
    <t xml:space="preserve">Never Get a RERA Suspension Again</t>
  </si>
  <si>
    <t xml:space="preserve">RERA Compliance — Checked Automatically</t>
  </si>
  <si>
    <t xml:space="preserve">Description</t>
  </si>
  <si>
    <t xml:space="preserve">Auto-compliance check on every listing. Before you paste. 14-day free trial.</t>
  </si>
  <si>
    <t xml:space="preserve">124K listings checked. Zero surprises. Start your 14-day free trial.</t>
  </si>
  <si>
    <t xml:space="preserve">CTA Button</t>
  </si>
  <si>
    <t xml:space="preserve">Sign Up</t>
  </si>
  <si>
    <t xml:space="preserve">Post 22 — Two Days to Four Minutes (720× Faster)</t>
  </si>
  <si>
    <t xml:space="preserve">"What used to take two days of coordination now takes one person under five minutes."
— Operations Manager, UAE Real Estate Agency
48 hours of writing, translating, formatting, and compliance checking → 4 minutes with Enlista. That's 720× faster.
Your team is spending days on something that should take minutes.</t>
  </si>
  <si>
    <t xml:space="preserve">720× faster listing workflow. That's the real number.
Before Enlista: 48 hours from mandate to copy ready. Writing, translating, reformatting for 3 portals, RERA checks.
After Enlista: 4 minutes. Bilingual copy. All portals. RERA-clean. Ready to paste.
The maths makes the decision.</t>
  </si>
  <si>
    <t xml:space="preserve">From 48 Hours to 4 Minutes</t>
  </si>
  <si>
    <t xml:space="preserve">720× Faster — Actual Agency Result</t>
  </si>
  <si>
    <t xml:space="preserve">Real result from a real Dubai agency. See what 720× faster looks like.</t>
  </si>
  <si>
    <t xml:space="preserve">Bilingual, RERA-compliant, portal-ready in 4 minutes. Try free.</t>
  </si>
  <si>
    <t xml:space="preserve">Post 05 — True Cost of Manual Listing (90 Min)</t>
  </si>
  <si>
    <t xml:space="preserve">You just spent 90 minutes writing one listing.
30 min writing English. 20 min translating to Arabic. 30 min reformatting for 3 portals. 10 min anxiety-checking RERA compliance.
You have 19 more to do this month.
With Enlista — speak the details, everything's ready to paste in under 60 seconds. All of it.</t>
  </si>
  <si>
    <t xml:space="preserve">We timed the manual listing workflow in Dubai:
✏️ English copy: 30 min
🌐 Arabic translation: 20 min
📤 Portal reformatting: 30 min
✅ RERA check: 10 min
= 90 minutes. Per listing.
Enlista does all four in under 60 seconds. 840 agencies already switched.</t>
  </si>
  <si>
    <t xml:space="preserve">90 Minutes Per Listing? Not Anymore.</t>
  </si>
  <si>
    <t xml:space="preserve">60 Seconds vs 90 Minutes. You Choose.</t>
  </si>
  <si>
    <t xml:space="preserve">Bilingual copy for all portals in under 60 seconds. Try Enlista free.</t>
  </si>
  <si>
    <t xml:space="preserve">30 hours/month saved per agent. See the full breakdown.</t>
  </si>
  <si>
    <t xml:space="preserve">Post 20 — 20 Listings/Month = 30 Hours Writing</t>
  </si>
  <si>
    <t xml:space="preserve">If a senior agent costs AED 200/hr, and they spend 30 hours a month writing listing copy...
That's AED 6,000/month. Per agent. Just in copy-writing time.
Multiply by your team size. That's not a workflow problem — it's a cost problem.
With Enlista, 20 listings = 20 minutes. All copy ready to paste.</t>
  </si>
  <si>
    <t xml:space="preserve">20 listings × 90 min each = 30 hours of writing every month.
That's nearly a full working week your agents aren't spending on viewings, follow-ups, or closings.
With Enlista: 20 listings = under 20 minutes total. Bilingual. RERA-checked. All channels ready.
What would 30 extra hours per agent mean for your agency?</t>
  </si>
  <si>
    <t xml:space="preserve">AED 6,000/Month Lost to Copy-Writing</t>
  </si>
  <si>
    <t xml:space="preserve">Get 30 Hours Back Every Month</t>
  </si>
  <si>
    <t xml:space="preserve">Per agent. Per month. There's a faster way. 14-day free trial.</t>
  </si>
  <si>
    <t xml:space="preserve">20 listings in 20 minutes. Bilingual. Portal-ready. Start free.</t>
  </si>
  <si>
    <t xml:space="preserve">Post 30 — Stop Writing Listings. Start Closing Deals.</t>
  </si>
  <si>
    <t xml:space="preserve">Your 8-hour day with manual listing:
5.5 hours selling. 90 minutes writing copy.
Your 8-hour day with Enlista:
7+ hours selling. Copy ready in seconds.
Same agent. Same listings. 1.5 extra hours per day on what actually earns commission.
Stop writing. Start closing.</t>
  </si>
  <si>
    <t xml:space="preserve">840 UAE agencies. 124,000 listings generated. Under 60 seconds each.
Enlista writes your listing copy — English, Arabic, WhatsApp message, Instagram caption — all from one voice input. You paste it. You close deals.
The best brokers in Dubai stopped writing listings. They use Enlista.
14 days free. No card required.</t>
  </si>
  <si>
    <t xml:space="preserve">1.5 Extra Hours of Selling. Every Day.</t>
  </si>
  <si>
    <t xml:space="preserve">840 Agencies Already Switched. Have You?</t>
  </si>
  <si>
    <t xml:space="preserve">840 agencies already made the switch. Join them — 14 days free.</t>
  </si>
  <si>
    <t xml:space="preserve">Voice → bilingual copy in 60 seconds. Start your free trial now.</t>
  </si>
  <si>
    <t xml:space="preserve">Post 06 — Competitor Had Copy Ready 90 Min Before You</t>
  </si>
  <si>
    <t xml:space="preserve">Same property. Same portals. Same buyer.
Their listing went live at 14:32. Yours? Still being written at 16:47.
The first enquiry went to them. Because their copy was ready. Yours wasn't.
In Dubai's market — the listing that's pasted first gets the lead. Every time.</t>
  </si>
  <si>
    <t xml:space="preserve">How long does it take you to have listing copy ready to paste?
If the answer is more than 60 seconds — a competitor using Enlista already pasted theirs.
Same property. Different workflow. The enquiry goes to whoever's live first.
840 agencies chose faster. 14-day free trial.</t>
  </si>
  <si>
    <t xml:space="preserve">Same Property. They Got the Lead.</t>
  </si>
  <si>
    <t xml:space="preserve">Paste First. Get the Enquiry First.</t>
  </si>
  <si>
    <t xml:space="preserve">Your listing copy ready in under 60 seconds. Never lose another race.</t>
  </si>
  <si>
    <t xml:space="preserve">Voice → bilingual listing copy in under 60 seconds. Try free.</t>
  </si>
  <si>
    <t xml:space="preserve">CAMPAIGN 2: ENTERPRISE AD COPY — Lead Generation (Demo/Consultation)</t>
  </si>
  <si>
    <t xml:space="preserve">Ad E1 — ROI Calculator Angle (Agency Cost of Manual Listing)</t>
  </si>
  <si>
    <t xml:space="preserve">Your agency has 15 agents. Each one spends 30 hours a month writing listing copy.
That's 450 hours. AED 90,000 in productivity — gone. Every month.
Enlista generates bilingual, RERA-compliant listing copy from a voice input in under 60 seconds. Per listing. Per agent.
Multiply by your team. That's how much you're losing.</t>
  </si>
  <si>
    <t xml:space="preserve">15 agents × 20 listings × 90 min each = 450 hours/month writing copy.
At AED 200/hr, that's AED 90,000/month your agency spends before a single deal closes.
Enlista cuts listing copy time to under 60 seconds. Bilingual. RERA-clean. All portals.
See what it would save your agency.</t>
  </si>
  <si>
    <t xml:space="preserve">AED 90K/Month in Lost Productivity</t>
  </si>
  <si>
    <t xml:space="preserve">450 Hours/Month Writing Listings. Get Them Back.</t>
  </si>
  <si>
    <t xml:space="preserve">Calculate what manual listing copy costs your agency. Book a free 10-minute demo.</t>
  </si>
  <si>
    <t xml:space="preserve">Custom ROI calculation for your agency size. Talk to our team.</t>
  </si>
  <si>
    <t xml:space="preserve">Get Quote</t>
  </si>
  <si>
    <t xml:space="preserve">Ad E2 — Case Study Angle (720x Faster Agency)</t>
  </si>
  <si>
    <t xml:space="preserve">"What used to take two days of coordination across the team now takes one person under five minutes."
— Operations Manager, UAE Real Estate Agency
One agency went from 48-hour listing turnaround to 4 minutes. Zero RERA suspensions in 6 months. Arabic copy quality improved dramatically.
Your agency could be next.</t>
  </si>
  <si>
    <t xml:space="preserve">A Dubai agency with 12 agents had 2 RERA suspensions in Q3. Each one: 72+ hours of listings offline. Leads lost to competitors.
After switching to Enlista:
→ Zero RERA flags in 6 months
→ Listing copy ready in under 4 minutes
→ Consistent bilingual quality across all 12 agents
Book a demo and we'll show you the exact same setup.</t>
  </si>
  <si>
    <t xml:space="preserve">This Agency Cut Listing Time by 720x</t>
  </si>
  <si>
    <t xml:space="preserve">Zero RERA Suspensions. 12 Agents. 6 Months.</t>
  </si>
  <si>
    <t xml:space="preserve">Real results from a real UAE agency. See how it works for teams your size.</t>
  </si>
  <si>
    <t xml:space="preserve">Enterprise plan for agencies with 10+ agents. Talk to our team.</t>
  </si>
  <si>
    <t xml:space="preserve">Contact Us</t>
  </si>
  <si>
    <t xml:space="preserve">Ad E3 — Standardization Angle (Quality Across Your Team)</t>
  </si>
  <si>
    <t xml:space="preserve">Your top agent writes beautiful listings. Your newest agent? Not so much.
With Enlista, every agent — junior or senior — produces the same quality: professional bilingual copy, RERA-compliant, portal-ready, in under 60 seconds.
No more inconsistency. No more rewrites. No more compliance surprises from new hires.
Standardize your agency's output.</t>
  </si>
  <si>
    <t xml:space="preserve">The biggest complaint from agency founders:
"I can't control the quality of listings my agents put out."
Bad Arabic copy. Missing RERA fields. Inconsistent formatting across portals. It reflects on your brand.
Enlista standardizes every listing across your entire team. Same professional quality. Same compliance. Every time.
840 agencies already standardized.</t>
  </si>
  <si>
    <t xml:space="preserve">Every Agent. Same Quality. Automatically.</t>
  </si>
  <si>
    <t xml:space="preserve">Stop Rewriting Your Agents' Listings</t>
  </si>
  <si>
    <t xml:space="preserve">Enterprise plans for agencies with 10+ agents. Book a demo.</t>
  </si>
  <si>
    <t xml:space="preserve">See how enterprise agencies use Enlista to standardize output. Free demo.</t>
  </si>
  <si>
    <t xml:space="preserve">ENLISTA ADS PERFORMANCE REPORT</t>
  </si>
  <si>
    <t xml:space="preserve">REPORT HEADER</t>
  </si>
  <si>
    <t xml:space="preserve">Period</t>
  </si>
  <si>
    <t xml:space="preserve">[Enter date range]</t>
  </si>
  <si>
    <t xml:space="preserve">Total Spend</t>
  </si>
  <si>
    <t xml:space="preserve">[AED X]</t>
  </si>
  <si>
    <t xml:space="preserve">Total Leads</t>
  </si>
  <si>
    <t xml:space="preserve">[X]</t>
  </si>
  <si>
    <t xml:space="preserve">Avg CPL</t>
  </si>
  <si>
    <t xml:space="preserve">Avg CTR</t>
  </si>
  <si>
    <t xml:space="preserve">[X]%</t>
  </si>
  <si>
    <t xml:space="preserve">TOP PERFORMER</t>
  </si>
  <si>
    <t xml:space="preserve">Value</t>
  </si>
  <si>
    <t xml:space="preserve">Ad Name</t>
  </si>
  <si>
    <t xml:space="preserve">[Enter]</t>
  </si>
  <si>
    <t xml:space="preserve">CTR (%)</t>
  </si>
  <si>
    <t xml:space="preserve">CPL (AED)</t>
  </si>
  <si>
    <t xml:space="preserve">Leads Generated</t>
  </si>
  <si>
    <t xml:space="preserve">Impressions</t>
  </si>
  <si>
    <t xml:space="preserve">Spend (AED)</t>
  </si>
  <si>
    <t xml:space="preserve">LOWEST PERFORMER</t>
  </si>
  <si>
    <t xml:space="preserve">Status (Paused/Under Review)</t>
  </si>
  <si>
    <t xml:space="preserve">Reason</t>
  </si>
  <si>
    <t xml:space="preserve">AUDIENCE INSIGHTS</t>
  </si>
  <si>
    <t xml:space="preserve">Segment</t>
  </si>
  <si>
    <t xml:space="preserve">Leads</t>
  </si>
  <si>
    <t xml:space="preserve">Best Placement</t>
  </si>
  <si>
    <t xml:space="preserve">Segment A (Agents)</t>
  </si>
  <si>
    <t xml:space="preserve">Segment B (Founders/CEOs)</t>
  </si>
  <si>
    <t xml:space="preserve">Segment C (Retargeting)</t>
  </si>
  <si>
    <t xml:space="preserve">NEXT ACTIONS</t>
  </si>
  <si>
    <t xml:space="preserve">1.</t>
  </si>
  <si>
    <t xml:space="preserve">Scale / Pause / Modify specific ads:</t>
  </si>
  <si>
    <t xml:space="preserve">[Enter recommendation]</t>
  </si>
  <si>
    <t xml:space="preserve">2.</t>
  </si>
  <si>
    <t xml:space="preserve">Next A/B test variable to introduce:</t>
  </si>
  <si>
    <t xml:space="preserve">3.</t>
  </si>
  <si>
    <t xml:space="preserve">Budget reallocation recommendation:</t>
  </si>
  <si>
    <t xml:space="preserve">4.</t>
  </si>
  <si>
    <t xml:space="preserve">Creative refresh needed (Yes/No):</t>
  </si>
  <si>
    <t xml:space="preserve">5.</t>
  </si>
  <si>
    <t xml:space="preserve">New audiences to test:</t>
  </si>
  <si>
    <t xml:space="preserve">ENLISTA — DUAL CAMPAIGN BUDGET (AED 7,500 · Instagram · Conversions + Leads)</t>
  </si>
  <si>
    <t xml:space="preserve">BUDGET INPUTS</t>
  </si>
  <si>
    <t xml:space="preserve">Total Monthly Budget (AED)</t>
  </si>
  <si>
    <t xml:space="preserve">Target CPL (AED)</t>
  </si>
  <si>
    <t xml:space="preserve">Days in Month</t>
  </si>
  <si>
    <t xml:space="preserve">Est. Monthly Leads</t>
  </si>
  <si>
    <t xml:space="preserve">BUDGET SPLIT BY AD SET</t>
  </si>
  <si>
    <t xml:space="preserve">% Allocation</t>
  </si>
  <si>
    <t xml:space="preserve">Monthly (AED)</t>
  </si>
  <si>
    <t xml:space="preserve">Daily (AED)</t>
  </si>
  <si>
    <t xml:space="preserve">Est. Leads/Month</t>
  </si>
  <si>
    <t xml:space="preserve">Campaign 1: Agents (Conversions)</t>
  </si>
  <si>
    <t xml:space="preserve">Campaign 1: SMB Founders (Conversions)</t>
  </si>
  <si>
    <t xml:space="preserve">Campaign 2: Enterprise (Leads) + Retargeting</t>
  </si>
</sst>
</file>

<file path=xl/styles.xml><?xml version="1.0" encoding="utf-8"?>
<styleSheet xmlns="http://schemas.openxmlformats.org/spreadsheetml/2006/main">
  <numFmts count="3">
    <numFmt numFmtId="164" formatCode="General"/>
    <numFmt numFmtId="165" formatCode="#,##0"/>
    <numFmt numFmtId="166" formatCode="0%"/>
  </numFmts>
  <fonts count="12">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b val="true"/>
      <sz val="10"/>
      <color rgb="FFFFFFFF"/>
      <name val="Arial"/>
      <family val="0"/>
      <charset val="1"/>
    </font>
    <font>
      <sz val="10"/>
      <color rgb="FF000000"/>
      <name val="Arial"/>
      <family val="0"/>
      <charset val="1"/>
    </font>
    <font>
      <b val="true"/>
      <sz val="10"/>
      <color rgb="FF000000"/>
      <name val="Arial"/>
      <family val="0"/>
      <charset val="1"/>
    </font>
    <font>
      <b val="true"/>
      <sz val="12"/>
      <color rgb="FF1D4ED8"/>
      <name val="Arial"/>
      <family val="0"/>
      <charset val="1"/>
    </font>
    <font>
      <b val="true"/>
      <sz val="12"/>
      <color rgb="FF7C3AED"/>
      <name val="Arial"/>
      <family val="0"/>
      <charset val="1"/>
    </font>
    <font>
      <sz val="10"/>
      <color rgb="FF0000FF"/>
      <name val="Arial"/>
      <family val="0"/>
      <charset val="1"/>
    </font>
    <font>
      <b val="true"/>
      <sz val="10"/>
      <color rgb="FF059669"/>
      <name val="Arial"/>
      <family val="0"/>
      <charset val="1"/>
    </font>
  </fonts>
  <fills count="14">
    <fill>
      <patternFill patternType="none"/>
    </fill>
    <fill>
      <patternFill patternType="gray125"/>
    </fill>
    <fill>
      <patternFill patternType="solid">
        <fgColor rgb="FF0F1829"/>
        <bgColor rgb="FF000000"/>
      </patternFill>
    </fill>
    <fill>
      <patternFill patternType="solid">
        <fgColor rgb="FF1D4ED8"/>
        <bgColor rgb="FF3366FF"/>
      </patternFill>
    </fill>
    <fill>
      <patternFill patternType="solid">
        <fgColor rgb="FFD1FAE5"/>
        <bgColor rgb="FFF0FDF4"/>
      </patternFill>
    </fill>
    <fill>
      <patternFill patternType="solid">
        <fgColor rgb="FFEFF6FF"/>
        <bgColor rgb="FFF8FAFC"/>
      </patternFill>
    </fill>
    <fill>
      <patternFill patternType="solid">
        <fgColor rgb="FFFFFBEB"/>
        <bgColor rgb="FFF8FAFC"/>
      </patternFill>
    </fill>
    <fill>
      <patternFill patternType="solid">
        <fgColor rgb="FFFEF2F2"/>
        <bgColor rgb="FFFAF5FF"/>
      </patternFill>
    </fill>
    <fill>
      <patternFill patternType="solid">
        <fgColor rgb="FFF0FDF4"/>
        <bgColor rgb="FFF8FAFC"/>
      </patternFill>
    </fill>
    <fill>
      <patternFill patternType="solid">
        <fgColor rgb="FFFAF5FF"/>
        <bgColor rgb="FFF8FAFC"/>
      </patternFill>
    </fill>
    <fill>
      <patternFill patternType="solid">
        <fgColor rgb="FFF3E8FF"/>
        <bgColor rgb="FFFEF2F2"/>
      </patternFill>
    </fill>
    <fill>
      <patternFill patternType="solid">
        <fgColor rgb="FFF8FAFC"/>
        <bgColor rgb="FFFAF5FF"/>
      </patternFill>
    </fill>
    <fill>
      <patternFill patternType="solid">
        <fgColor rgb="FFFFFFFF"/>
        <bgColor rgb="FFF8FAFC"/>
      </patternFill>
    </fill>
    <fill>
      <patternFill patternType="solid">
        <fgColor rgb="FFFFF9C4"/>
        <bgColor rgb="FFFFFBEB"/>
      </patternFill>
    </fill>
  </fills>
  <borders count="3">
    <border diagonalUp="false" diagonalDown="false">
      <left/>
      <right/>
      <top/>
      <bottom/>
      <diagonal/>
    </border>
    <border diagonalUp="false" diagonalDown="false">
      <left style="thin">
        <color rgb="FFDDE3EC"/>
      </left>
      <right style="thin">
        <color rgb="FFDDE3EC"/>
      </right>
      <top style="thin">
        <color rgb="FFDDE3EC"/>
      </top>
      <bottom style="thin">
        <color rgb="FFDDE3EC"/>
      </bottom>
      <diagonal/>
    </border>
    <border diagonalUp="false" diagonalDown="false">
      <left style="thin">
        <color rgb="FFDDE3EC"/>
      </left>
      <right/>
      <top style="thin">
        <color rgb="FFDDE3EC"/>
      </top>
      <bottom style="thin">
        <color rgb="FFDDE3E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left" vertical="center"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left" vertical="center"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4" fontId="7" fillId="9" borderId="1" xfId="0" applyFont="true" applyBorder="true" applyAlignment="true" applyProtection="false">
      <alignment horizontal="general" vertical="top" textRotation="0" wrapText="true" indent="0" shrinkToFit="false"/>
      <protection locked="true" hidden="false"/>
    </xf>
    <xf numFmtId="164" fontId="5" fillId="8" borderId="1" xfId="0" applyFont="true" applyBorder="true" applyAlignment="true" applyProtection="false">
      <alignment horizontal="center" vertical="center" textRotation="0" wrapText="true" indent="0" shrinkToFit="false"/>
      <protection locked="true" hidden="false"/>
    </xf>
    <xf numFmtId="164" fontId="5" fillId="9" borderId="1" xfId="0" applyFont="true" applyBorder="true" applyAlignment="true" applyProtection="false">
      <alignment horizontal="center" vertical="center" textRotation="0" wrapText="true" indent="0" shrinkToFit="false"/>
      <protection locked="true" hidden="false"/>
    </xf>
    <xf numFmtId="164" fontId="6" fillId="8" borderId="1" xfId="0" applyFont="true" applyBorder="true" applyAlignment="true" applyProtection="false">
      <alignment horizontal="general" vertical="top" textRotation="0" wrapText="true" indent="0" shrinkToFit="false"/>
      <protection locked="true" hidden="false"/>
    </xf>
    <xf numFmtId="164" fontId="6" fillId="9" borderId="1" xfId="0" applyFont="true" applyBorder="true" applyAlignment="true" applyProtection="false">
      <alignment horizontal="general" vertical="top" textRotation="0" wrapText="true" indent="0" shrinkToFit="false"/>
      <protection locked="true" hidden="false"/>
    </xf>
    <xf numFmtId="164" fontId="8" fillId="8" borderId="1" xfId="0" applyFont="true" applyBorder="true" applyAlignment="true" applyProtection="false">
      <alignment horizontal="left" vertical="center" textRotation="0" wrapText="true" indent="0" shrinkToFit="false"/>
      <protection locked="true" hidden="false"/>
    </xf>
    <xf numFmtId="164" fontId="6" fillId="8" borderId="1" xfId="0" applyFont="true" applyBorder="true" applyAlignment="true" applyProtection="false">
      <alignment horizontal="center" vertical="center" textRotation="0" wrapText="true" indent="0" shrinkToFit="false"/>
      <protection locked="true" hidden="false"/>
    </xf>
    <xf numFmtId="164" fontId="9" fillId="10" borderId="1" xfId="0" applyFont="true" applyBorder="true" applyAlignment="true" applyProtection="false">
      <alignment horizontal="left" vertical="center" textRotation="0" wrapText="true" indent="0" shrinkToFit="false"/>
      <protection locked="true" hidden="false"/>
    </xf>
    <xf numFmtId="164" fontId="8" fillId="9" borderId="1" xfId="0" applyFont="true" applyBorder="true" applyAlignment="true" applyProtection="false">
      <alignment horizontal="left" vertical="center" textRotation="0" wrapText="true" indent="0" shrinkToFit="false"/>
      <protection locked="true" hidden="false"/>
    </xf>
    <xf numFmtId="164" fontId="6" fillId="9"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7" fillId="11" borderId="1" xfId="0" applyFont="true" applyBorder="true" applyAlignment="true" applyProtection="false">
      <alignment horizontal="general" vertical="top" textRotation="0" wrapText="true" indent="0" shrinkToFit="false"/>
      <protection locked="true" hidden="false"/>
    </xf>
    <xf numFmtId="164" fontId="6" fillId="11" borderId="1" xfId="0" applyFont="true" applyBorder="true" applyAlignment="true" applyProtection="false">
      <alignment horizontal="general" vertical="top" textRotation="0" wrapText="true" indent="0" shrinkToFit="false"/>
      <protection locked="true" hidden="false"/>
    </xf>
    <xf numFmtId="164" fontId="7" fillId="12" borderId="1" xfId="0" applyFont="true" applyBorder="true" applyAlignment="true" applyProtection="false">
      <alignment horizontal="general" vertical="bottom" textRotation="0" wrapText="false" indent="0" shrinkToFit="false"/>
      <protection locked="true" hidden="false"/>
    </xf>
    <xf numFmtId="164" fontId="10" fillId="13" borderId="1" xfId="0" applyFont="true" applyBorder="true" applyAlignment="true" applyProtection="false">
      <alignment horizontal="general" vertical="bottom" textRotation="0" wrapText="false" indent="0" shrinkToFit="false"/>
      <protection locked="true" hidden="false"/>
    </xf>
    <xf numFmtId="164" fontId="10" fillId="12"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10" fillId="13" borderId="2" xfId="0" applyFont="true" applyBorder="true" applyAlignment="true" applyProtection="false">
      <alignment horizontal="general" vertical="bottom" textRotation="0" wrapText="false" indent="0" shrinkToFit="false"/>
      <protection locked="true" hidden="false"/>
    </xf>
    <xf numFmtId="165" fontId="10" fillId="13" borderId="1" xfId="0" applyFont="true" applyBorder="true" applyAlignment="tru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general" vertical="bottom" textRotation="0" wrapText="false" indent="0" shrinkToFit="false"/>
      <protection locked="true" hidden="false"/>
    </xf>
    <xf numFmtId="165" fontId="11" fillId="0" borderId="1" xfId="0" applyFont="true" applyBorder="true" applyAlignment="true" applyProtection="false">
      <alignment horizontal="general" vertical="bottom" textRotation="0" wrapText="false" indent="0" shrinkToFit="false"/>
      <protection locked="true" hidden="false"/>
    </xf>
    <xf numFmtId="166" fontId="10" fillId="13" borderId="1" xfId="0" applyFont="true" applyBorder="true" applyAlignment="tru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DC2626"/>
      <rgbColor rgb="FF00FF00"/>
      <rgbColor rgb="FF0000FF"/>
      <rgbColor rgb="FFFFFF00"/>
      <rgbColor rgb="FFFF00FF"/>
      <rgbColor rgb="FF00FFFF"/>
      <rgbColor rgb="FF800000"/>
      <rgbColor rgb="FF008000"/>
      <rgbColor rgb="FF000080"/>
      <rgbColor rgb="FF808000"/>
      <rgbColor rgb="FF800080"/>
      <rgbColor rgb="FF059669"/>
      <rgbColor rgb="FFFEF2F2"/>
      <rgbColor rgb="FF808080"/>
      <rgbColor rgb="FF9999FF"/>
      <rgbColor rgb="FF993366"/>
      <rgbColor rgb="FFFFF9C4"/>
      <rgbColor rgb="FFF0FDF4"/>
      <rgbColor rgb="FF660066"/>
      <rgbColor rgb="FFFF8080"/>
      <rgbColor rgb="FF1D4ED8"/>
      <rgbColor rgb="FFDDE3EC"/>
      <rgbColor rgb="FF000080"/>
      <rgbColor rgb="FFFF00FF"/>
      <rgbColor rgb="FFFFFF00"/>
      <rgbColor rgb="FF00FFFF"/>
      <rgbColor rgb="FF800080"/>
      <rgbColor rgb="FF800000"/>
      <rgbColor rgb="FF008080"/>
      <rgbColor rgb="FF0000FF"/>
      <rgbColor rgb="FF00CCFF"/>
      <rgbColor rgb="FFEFF6FF"/>
      <rgbColor rgb="FFD1FAE5"/>
      <rgbColor rgb="FFFFFBEB"/>
      <rgbColor rgb="FFFAF5FF"/>
      <rgbColor rgb="FFF8FAFC"/>
      <rgbColor rgb="FFCC99FF"/>
      <rgbColor rgb="FFF3E8FF"/>
      <rgbColor rgb="FF3366FF"/>
      <rgbColor rgb="FF33CCCC"/>
      <rgbColor rgb="FF99CC00"/>
      <rgbColor rgb="FFFFCC00"/>
      <rgbColor rgb="FFF59E0B"/>
      <rgbColor rgb="FFD97706"/>
      <rgbColor rgb="FF7C3AED"/>
      <rgbColor rgb="FF969696"/>
      <rgbColor rgb="FF003366"/>
      <rgbColor rgb="FF10B981"/>
      <rgbColor rgb="FF0F1829"/>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D4ED8"/>
    <pageSetUpPr fitToPage="false"/>
  </sheetPr>
  <dimension ref="A1:L4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14"/>
    <col collapsed="false" customWidth="true" hidden="false" outlineLevel="0" max="3" min="3" style="1" width="50"/>
    <col collapsed="false" customWidth="true" hidden="false" outlineLevel="0" max="4" min="4" style="1" width="14"/>
    <col collapsed="false" customWidth="true" hidden="false" outlineLevel="0" max="5" min="5" style="1" width="12"/>
    <col collapsed="false" customWidth="true" hidden="false" outlineLevel="0" max="6" min="6" style="1" width="25"/>
    <col collapsed="false" customWidth="true" hidden="false" outlineLevel="0" max="7" min="7" style="1" width="60"/>
    <col collapsed="false" customWidth="true" hidden="false" outlineLevel="0" max="12" min="8" style="1" width="12"/>
  </cols>
  <sheetData>
    <row r="1" customFormat="false" ht="19.5" hidden="false" customHeight="true" outlineLevel="0" collapsed="false">
      <c r="A1" s="2" t="s">
        <v>0</v>
      </c>
      <c r="B1" s="2"/>
      <c r="C1" s="2"/>
      <c r="D1" s="2"/>
      <c r="E1" s="2"/>
      <c r="F1" s="2"/>
      <c r="G1" s="2"/>
      <c r="H1" s="2"/>
      <c r="I1" s="2"/>
      <c r="J1" s="2"/>
      <c r="K1" s="2"/>
      <c r="L1" s="2"/>
    </row>
    <row r="3" customFormat="false" ht="34.5" hidden="false" customHeight="true" outlineLevel="0" collapsed="false">
      <c r="A3" s="3" t="s">
        <v>1</v>
      </c>
      <c r="B3" s="3" t="s">
        <v>2</v>
      </c>
      <c r="C3" s="3" t="s">
        <v>3</v>
      </c>
      <c r="D3" s="3" t="s">
        <v>4</v>
      </c>
      <c r="E3" s="3" t="s">
        <v>5</v>
      </c>
      <c r="F3" s="3" t="s">
        <v>6</v>
      </c>
      <c r="G3" s="3" t="s">
        <v>7</v>
      </c>
      <c r="H3" s="3" t="s">
        <v>8</v>
      </c>
      <c r="I3" s="3" t="s">
        <v>9</v>
      </c>
      <c r="J3" s="3" t="s">
        <v>10</v>
      </c>
      <c r="K3" s="3" t="s">
        <v>11</v>
      </c>
      <c r="L3" s="3" t="s">
        <v>12</v>
      </c>
    </row>
    <row r="4" customFormat="false" ht="15" hidden="false" customHeight="true" outlineLevel="0" collapsed="false">
      <c r="A4" s="4" t="s">
        <v>13</v>
      </c>
      <c r="B4" s="4" t="s">
        <v>14</v>
      </c>
      <c r="C4" s="4" t="s">
        <v>15</v>
      </c>
      <c r="D4" s="4" t="s">
        <v>16</v>
      </c>
      <c r="E4" s="5" t="n">
        <v>8</v>
      </c>
      <c r="F4" s="5" t="n">
        <v>9</v>
      </c>
      <c r="G4" s="5" t="n">
        <v>7</v>
      </c>
      <c r="H4" s="5" t="n">
        <v>9</v>
      </c>
      <c r="I4" s="5" t="n">
        <v>8</v>
      </c>
      <c r="J4" s="5" t="n">
        <v>8</v>
      </c>
      <c r="K4" s="5" t="n">
        <v>5</v>
      </c>
      <c r="L4" s="6" t="n">
        <f aca="false">SUM(E4:K4)</f>
        <v>54</v>
      </c>
    </row>
    <row r="5" customFormat="false" ht="15" hidden="false" customHeight="true" outlineLevel="0" collapsed="false">
      <c r="A5" s="4" t="s">
        <v>17</v>
      </c>
      <c r="B5" s="4" t="s">
        <v>18</v>
      </c>
      <c r="C5" s="4" t="s">
        <v>19</v>
      </c>
      <c r="D5" s="4" t="s">
        <v>20</v>
      </c>
      <c r="E5" s="5" t="n">
        <v>9</v>
      </c>
      <c r="F5" s="5" t="n">
        <v>9</v>
      </c>
      <c r="G5" s="5" t="n">
        <v>7</v>
      </c>
      <c r="H5" s="5" t="n">
        <v>8</v>
      </c>
      <c r="I5" s="5" t="n">
        <v>9</v>
      </c>
      <c r="J5" s="5" t="n">
        <v>8</v>
      </c>
      <c r="K5" s="5" t="n">
        <v>6</v>
      </c>
      <c r="L5" s="6" t="n">
        <f aca="false">SUM(E5:K5)</f>
        <v>56</v>
      </c>
    </row>
    <row r="6" customFormat="false" ht="15" hidden="false" customHeight="true" outlineLevel="0" collapsed="false">
      <c r="A6" s="4" t="s">
        <v>21</v>
      </c>
      <c r="B6" s="4" t="s">
        <v>18</v>
      </c>
      <c r="C6" s="4" t="s">
        <v>22</v>
      </c>
      <c r="D6" s="4" t="s">
        <v>23</v>
      </c>
      <c r="E6" s="5" t="n">
        <v>9</v>
      </c>
      <c r="F6" s="5" t="n">
        <v>9</v>
      </c>
      <c r="G6" s="5" t="n">
        <v>8</v>
      </c>
      <c r="H6" s="5" t="n">
        <v>7</v>
      </c>
      <c r="I6" s="5" t="n">
        <v>9</v>
      </c>
      <c r="J6" s="5" t="n">
        <v>9</v>
      </c>
      <c r="K6" s="5" t="n">
        <v>6</v>
      </c>
      <c r="L6" s="6" t="n">
        <f aca="false">SUM(E6:K6)</f>
        <v>57</v>
      </c>
    </row>
    <row r="7" customFormat="false" ht="15" hidden="false" customHeight="true" outlineLevel="0" collapsed="false">
      <c r="A7" s="4" t="s">
        <v>24</v>
      </c>
      <c r="B7" s="4" t="s">
        <v>18</v>
      </c>
      <c r="C7" s="4" t="s">
        <v>25</v>
      </c>
      <c r="D7" s="4" t="s">
        <v>16</v>
      </c>
      <c r="E7" s="5" t="n">
        <v>8</v>
      </c>
      <c r="F7" s="5" t="n">
        <v>8</v>
      </c>
      <c r="G7" s="5" t="n">
        <v>6</v>
      </c>
      <c r="H7" s="5" t="n">
        <v>7</v>
      </c>
      <c r="I7" s="5" t="n">
        <v>7</v>
      </c>
      <c r="J7" s="5" t="n">
        <v>7</v>
      </c>
      <c r="K7" s="5" t="n">
        <v>5</v>
      </c>
      <c r="L7" s="6" t="n">
        <f aca="false">SUM(E7:K7)</f>
        <v>48</v>
      </c>
    </row>
    <row r="8" customFormat="false" ht="15" hidden="false" customHeight="true" outlineLevel="0" collapsed="false">
      <c r="A8" s="4" t="s">
        <v>26</v>
      </c>
      <c r="B8" s="4" t="s">
        <v>18</v>
      </c>
      <c r="C8" s="4" t="s">
        <v>27</v>
      </c>
      <c r="D8" s="4" t="s">
        <v>28</v>
      </c>
      <c r="E8" s="5" t="n">
        <v>7</v>
      </c>
      <c r="F8" s="5" t="n">
        <v>9</v>
      </c>
      <c r="G8" s="5" t="n">
        <v>8</v>
      </c>
      <c r="H8" s="5" t="n">
        <v>8</v>
      </c>
      <c r="I8" s="5" t="n">
        <v>9</v>
      </c>
      <c r="J8" s="5" t="n">
        <v>7</v>
      </c>
      <c r="K8" s="5" t="n">
        <v>8</v>
      </c>
      <c r="L8" s="6" t="n">
        <f aca="false">SUM(E8:K8)</f>
        <v>56</v>
      </c>
    </row>
    <row r="9" customFormat="false" ht="15" hidden="false" customHeight="true" outlineLevel="0" collapsed="false">
      <c r="A9" s="7" t="s">
        <v>29</v>
      </c>
      <c r="B9" s="7" t="s">
        <v>30</v>
      </c>
      <c r="C9" s="7" t="s">
        <v>31</v>
      </c>
      <c r="D9" s="7" t="s">
        <v>28</v>
      </c>
      <c r="E9" s="8" t="n">
        <v>9</v>
      </c>
      <c r="F9" s="8" t="n">
        <v>10</v>
      </c>
      <c r="G9" s="8" t="n">
        <v>8</v>
      </c>
      <c r="H9" s="8" t="n">
        <v>8</v>
      </c>
      <c r="I9" s="8" t="n">
        <v>9</v>
      </c>
      <c r="J9" s="8" t="n">
        <v>9</v>
      </c>
      <c r="K9" s="8" t="n">
        <v>7</v>
      </c>
      <c r="L9" s="9" t="n">
        <f aca="false">SUM(E9:K9)</f>
        <v>60</v>
      </c>
    </row>
    <row r="10" customFormat="false" ht="15" hidden="false" customHeight="true" outlineLevel="0" collapsed="false">
      <c r="A10" s="7" t="s">
        <v>32</v>
      </c>
      <c r="B10" s="7" t="s">
        <v>30</v>
      </c>
      <c r="C10" s="7" t="s">
        <v>33</v>
      </c>
      <c r="D10" s="7" t="s">
        <v>16</v>
      </c>
      <c r="E10" s="8" t="n">
        <v>10</v>
      </c>
      <c r="F10" s="8" t="n">
        <v>9</v>
      </c>
      <c r="G10" s="8" t="n">
        <v>7</v>
      </c>
      <c r="H10" s="8" t="n">
        <v>8</v>
      </c>
      <c r="I10" s="8" t="n">
        <v>8</v>
      </c>
      <c r="J10" s="8" t="n">
        <v>10</v>
      </c>
      <c r="K10" s="8" t="n">
        <v>7</v>
      </c>
      <c r="L10" s="9" t="n">
        <f aca="false">SUM(E10:K10)</f>
        <v>59</v>
      </c>
    </row>
    <row r="11" customFormat="false" ht="15" hidden="false" customHeight="true" outlineLevel="0" collapsed="false">
      <c r="A11" s="7" t="s">
        <v>34</v>
      </c>
      <c r="B11" s="7" t="s">
        <v>30</v>
      </c>
      <c r="C11" s="7" t="s">
        <v>35</v>
      </c>
      <c r="D11" s="7" t="s">
        <v>23</v>
      </c>
      <c r="E11" s="8" t="n">
        <v>10</v>
      </c>
      <c r="F11" s="8" t="n">
        <v>10</v>
      </c>
      <c r="G11" s="8" t="n">
        <v>9</v>
      </c>
      <c r="H11" s="8" t="n">
        <v>8</v>
      </c>
      <c r="I11" s="8" t="n">
        <v>9</v>
      </c>
      <c r="J11" s="8" t="n">
        <v>9</v>
      </c>
      <c r="K11" s="8" t="n">
        <v>8</v>
      </c>
      <c r="L11" s="9" t="n">
        <f aca="false">SUM(E11:K11)</f>
        <v>63</v>
      </c>
    </row>
    <row r="12" customFormat="false" ht="15" hidden="false" customHeight="true" outlineLevel="0" collapsed="false">
      <c r="A12" s="4" t="s">
        <v>36</v>
      </c>
      <c r="B12" s="4" t="s">
        <v>30</v>
      </c>
      <c r="C12" s="4" t="s">
        <v>37</v>
      </c>
      <c r="D12" s="4" t="s">
        <v>20</v>
      </c>
      <c r="E12" s="5" t="n">
        <v>9</v>
      </c>
      <c r="F12" s="5" t="n">
        <v>10</v>
      </c>
      <c r="G12" s="5" t="n">
        <v>8</v>
      </c>
      <c r="H12" s="5" t="n">
        <v>7</v>
      </c>
      <c r="I12" s="5" t="n">
        <v>8</v>
      </c>
      <c r="J12" s="5" t="n">
        <v>9</v>
      </c>
      <c r="K12" s="5" t="n">
        <v>7</v>
      </c>
      <c r="L12" s="6" t="n">
        <f aca="false">SUM(E12:K12)</f>
        <v>58</v>
      </c>
    </row>
    <row r="13" customFormat="false" ht="15" hidden="false" customHeight="true" outlineLevel="0" collapsed="false">
      <c r="A13" s="4" t="s">
        <v>38</v>
      </c>
      <c r="B13" s="4" t="s">
        <v>30</v>
      </c>
      <c r="C13" s="4" t="s">
        <v>39</v>
      </c>
      <c r="D13" s="4" t="s">
        <v>16</v>
      </c>
      <c r="E13" s="5" t="n">
        <v>9</v>
      </c>
      <c r="F13" s="5" t="n">
        <v>9</v>
      </c>
      <c r="G13" s="5" t="n">
        <v>6</v>
      </c>
      <c r="H13" s="5" t="n">
        <v>7</v>
      </c>
      <c r="I13" s="5" t="n">
        <v>7</v>
      </c>
      <c r="J13" s="5" t="n">
        <v>10</v>
      </c>
      <c r="K13" s="5" t="n">
        <v>6</v>
      </c>
      <c r="L13" s="6" t="n">
        <f aca="false">SUM(E13:K13)</f>
        <v>54</v>
      </c>
    </row>
    <row r="14" customFormat="false" ht="15" hidden="false" customHeight="true" outlineLevel="0" collapsed="false">
      <c r="A14" s="4" t="s">
        <v>40</v>
      </c>
      <c r="B14" s="4" t="s">
        <v>30</v>
      </c>
      <c r="C14" s="4" t="s">
        <v>41</v>
      </c>
      <c r="D14" s="4" t="s">
        <v>42</v>
      </c>
      <c r="E14" s="5" t="n">
        <v>8</v>
      </c>
      <c r="F14" s="5" t="n">
        <v>9</v>
      </c>
      <c r="G14" s="5" t="n">
        <v>8</v>
      </c>
      <c r="H14" s="5" t="n">
        <v>8</v>
      </c>
      <c r="I14" s="5" t="n">
        <v>9</v>
      </c>
      <c r="J14" s="5" t="n">
        <v>8</v>
      </c>
      <c r="K14" s="5" t="n">
        <v>9</v>
      </c>
      <c r="L14" s="6" t="n">
        <f aca="false">SUM(E14:K14)</f>
        <v>59</v>
      </c>
    </row>
    <row r="15" customFormat="false" ht="15" hidden="false" customHeight="true" outlineLevel="0" collapsed="false">
      <c r="A15" s="4" t="s">
        <v>43</v>
      </c>
      <c r="B15" s="4" t="s">
        <v>44</v>
      </c>
      <c r="C15" s="4" t="s">
        <v>45</v>
      </c>
      <c r="D15" s="4" t="s">
        <v>20</v>
      </c>
      <c r="E15" s="5" t="n">
        <v>8</v>
      </c>
      <c r="F15" s="5" t="n">
        <v>9</v>
      </c>
      <c r="G15" s="5" t="n">
        <v>7</v>
      </c>
      <c r="H15" s="5" t="n">
        <v>8</v>
      </c>
      <c r="I15" s="5" t="n">
        <v>8</v>
      </c>
      <c r="J15" s="5" t="n">
        <v>8</v>
      </c>
      <c r="K15" s="5" t="n">
        <v>6</v>
      </c>
      <c r="L15" s="6" t="n">
        <f aca="false">SUM(E15:K15)</f>
        <v>54</v>
      </c>
    </row>
    <row r="16" customFormat="false" ht="15" hidden="false" customHeight="true" outlineLevel="0" collapsed="false">
      <c r="A16" s="4" t="s">
        <v>46</v>
      </c>
      <c r="B16" s="4" t="s">
        <v>44</v>
      </c>
      <c r="C16" s="4" t="s">
        <v>47</v>
      </c>
      <c r="D16" s="4" t="s">
        <v>20</v>
      </c>
      <c r="E16" s="5" t="n">
        <v>7</v>
      </c>
      <c r="F16" s="5" t="n">
        <v>9</v>
      </c>
      <c r="G16" s="5" t="n">
        <v>7</v>
      </c>
      <c r="H16" s="5" t="n">
        <v>8</v>
      </c>
      <c r="I16" s="5" t="n">
        <v>8</v>
      </c>
      <c r="J16" s="5" t="n">
        <v>7</v>
      </c>
      <c r="K16" s="5" t="n">
        <v>6</v>
      </c>
      <c r="L16" s="6" t="n">
        <f aca="false">SUM(E16:K16)</f>
        <v>52</v>
      </c>
    </row>
    <row r="17" customFormat="false" ht="15" hidden="false" customHeight="true" outlineLevel="0" collapsed="false">
      <c r="A17" s="4" t="s">
        <v>48</v>
      </c>
      <c r="B17" s="4" t="s">
        <v>44</v>
      </c>
      <c r="C17" s="4" t="s">
        <v>49</v>
      </c>
      <c r="D17" s="4" t="s">
        <v>16</v>
      </c>
      <c r="E17" s="5" t="n">
        <v>7</v>
      </c>
      <c r="F17" s="5" t="n">
        <v>9</v>
      </c>
      <c r="G17" s="5" t="n">
        <v>8</v>
      </c>
      <c r="H17" s="5" t="n">
        <v>7</v>
      </c>
      <c r="I17" s="5" t="n">
        <v>7</v>
      </c>
      <c r="J17" s="5" t="n">
        <v>7</v>
      </c>
      <c r="K17" s="5" t="n">
        <v>8</v>
      </c>
      <c r="L17" s="6" t="n">
        <f aca="false">SUM(E17:K17)</f>
        <v>53</v>
      </c>
    </row>
    <row r="18" customFormat="false" ht="15" hidden="false" customHeight="true" outlineLevel="0" collapsed="false">
      <c r="A18" s="4" t="s">
        <v>50</v>
      </c>
      <c r="B18" s="4" t="s">
        <v>44</v>
      </c>
      <c r="C18" s="4" t="s">
        <v>51</v>
      </c>
      <c r="D18" s="4" t="s">
        <v>23</v>
      </c>
      <c r="E18" s="5" t="n">
        <v>9</v>
      </c>
      <c r="F18" s="5" t="n">
        <v>8</v>
      </c>
      <c r="G18" s="5" t="n">
        <v>7</v>
      </c>
      <c r="H18" s="5" t="n">
        <v>7</v>
      </c>
      <c r="I18" s="5" t="n">
        <v>9</v>
      </c>
      <c r="J18" s="5" t="n">
        <v>8</v>
      </c>
      <c r="K18" s="5" t="n">
        <v>6</v>
      </c>
      <c r="L18" s="6" t="n">
        <f aca="false">SUM(E18:K18)</f>
        <v>54</v>
      </c>
    </row>
    <row r="19" customFormat="false" ht="15" hidden="false" customHeight="true" outlineLevel="0" collapsed="false">
      <c r="A19" s="4" t="s">
        <v>52</v>
      </c>
      <c r="B19" s="4" t="s">
        <v>44</v>
      </c>
      <c r="C19" s="4" t="s">
        <v>53</v>
      </c>
      <c r="D19" s="4" t="s">
        <v>20</v>
      </c>
      <c r="E19" s="5" t="n">
        <v>8</v>
      </c>
      <c r="F19" s="5" t="n">
        <v>9</v>
      </c>
      <c r="G19" s="5" t="n">
        <v>8</v>
      </c>
      <c r="H19" s="5" t="n">
        <v>7</v>
      </c>
      <c r="I19" s="5" t="n">
        <v>8</v>
      </c>
      <c r="J19" s="5" t="n">
        <v>8</v>
      </c>
      <c r="K19" s="5" t="n">
        <v>7</v>
      </c>
      <c r="L19" s="6" t="n">
        <f aca="false">SUM(E19:K19)</f>
        <v>55</v>
      </c>
    </row>
    <row r="20" customFormat="false" ht="15" hidden="false" customHeight="true" outlineLevel="0" collapsed="false">
      <c r="A20" s="4" t="s">
        <v>54</v>
      </c>
      <c r="B20" s="4" t="s">
        <v>44</v>
      </c>
      <c r="C20" s="4" t="s">
        <v>55</v>
      </c>
      <c r="D20" s="4" t="s">
        <v>16</v>
      </c>
      <c r="E20" s="5" t="n">
        <v>7</v>
      </c>
      <c r="F20" s="5" t="n">
        <v>8</v>
      </c>
      <c r="G20" s="5" t="n">
        <v>7</v>
      </c>
      <c r="H20" s="5" t="n">
        <v>7</v>
      </c>
      <c r="I20" s="5" t="n">
        <v>7</v>
      </c>
      <c r="J20" s="5" t="n">
        <v>7</v>
      </c>
      <c r="K20" s="5" t="n">
        <v>5</v>
      </c>
      <c r="L20" s="6" t="n">
        <f aca="false">SUM(E20:K20)</f>
        <v>48</v>
      </c>
    </row>
    <row r="21" customFormat="false" ht="15" hidden="false" customHeight="true" outlineLevel="0" collapsed="false">
      <c r="A21" s="4" t="s">
        <v>56</v>
      </c>
      <c r="B21" s="4" t="s">
        <v>44</v>
      </c>
      <c r="C21" s="4" t="s">
        <v>57</v>
      </c>
      <c r="D21" s="4" t="s">
        <v>20</v>
      </c>
      <c r="E21" s="5" t="n">
        <v>9</v>
      </c>
      <c r="F21" s="5" t="n">
        <v>9</v>
      </c>
      <c r="G21" s="5" t="n">
        <v>7</v>
      </c>
      <c r="H21" s="5" t="n">
        <v>7</v>
      </c>
      <c r="I21" s="5" t="n">
        <v>9</v>
      </c>
      <c r="J21" s="5" t="n">
        <v>9</v>
      </c>
      <c r="K21" s="5" t="n">
        <v>7</v>
      </c>
      <c r="L21" s="6" t="n">
        <f aca="false">SUM(E21:K21)</f>
        <v>57</v>
      </c>
    </row>
    <row r="22" customFormat="false" ht="15" hidden="false" customHeight="true" outlineLevel="0" collapsed="false">
      <c r="A22" s="4" t="s">
        <v>58</v>
      </c>
      <c r="B22" s="4" t="s">
        <v>59</v>
      </c>
      <c r="C22" s="4" t="s">
        <v>60</v>
      </c>
      <c r="D22" s="4" t="s">
        <v>23</v>
      </c>
      <c r="E22" s="5" t="n">
        <v>8</v>
      </c>
      <c r="F22" s="5" t="n">
        <v>9</v>
      </c>
      <c r="G22" s="5" t="n">
        <v>9</v>
      </c>
      <c r="H22" s="5" t="n">
        <v>8</v>
      </c>
      <c r="I22" s="5" t="n">
        <v>9</v>
      </c>
      <c r="J22" s="5" t="n">
        <v>8</v>
      </c>
      <c r="K22" s="5" t="n">
        <v>8</v>
      </c>
      <c r="L22" s="6" t="n">
        <f aca="false">SUM(E22:K22)</f>
        <v>59</v>
      </c>
    </row>
    <row r="23" customFormat="false" ht="15" hidden="false" customHeight="true" outlineLevel="0" collapsed="false">
      <c r="A23" s="4" t="s">
        <v>61</v>
      </c>
      <c r="B23" s="4" t="s">
        <v>59</v>
      </c>
      <c r="C23" s="4" t="s">
        <v>62</v>
      </c>
      <c r="D23" s="4" t="s">
        <v>16</v>
      </c>
      <c r="E23" s="5" t="n">
        <v>9</v>
      </c>
      <c r="F23" s="5" t="n">
        <v>8</v>
      </c>
      <c r="G23" s="5" t="n">
        <v>6</v>
      </c>
      <c r="H23" s="5" t="n">
        <v>7</v>
      </c>
      <c r="I23" s="5" t="n">
        <v>7</v>
      </c>
      <c r="J23" s="5" t="n">
        <v>9</v>
      </c>
      <c r="K23" s="5" t="n">
        <v>5</v>
      </c>
      <c r="L23" s="6" t="n">
        <f aca="false">SUM(E23:K23)</f>
        <v>51</v>
      </c>
    </row>
    <row r="24" customFormat="false" ht="15" hidden="false" customHeight="true" outlineLevel="0" collapsed="false">
      <c r="A24" s="7" t="s">
        <v>63</v>
      </c>
      <c r="B24" s="7" t="s">
        <v>59</v>
      </c>
      <c r="C24" s="7" t="s">
        <v>64</v>
      </c>
      <c r="D24" s="7" t="s">
        <v>20</v>
      </c>
      <c r="E24" s="8" t="n">
        <v>9</v>
      </c>
      <c r="F24" s="8" t="n">
        <v>10</v>
      </c>
      <c r="G24" s="8" t="n">
        <v>9</v>
      </c>
      <c r="H24" s="8" t="n">
        <v>8</v>
      </c>
      <c r="I24" s="8" t="n">
        <v>9</v>
      </c>
      <c r="J24" s="8" t="n">
        <v>9</v>
      </c>
      <c r="K24" s="8" t="n">
        <v>8</v>
      </c>
      <c r="L24" s="9" t="n">
        <f aca="false">SUM(E24:K24)</f>
        <v>62</v>
      </c>
    </row>
    <row r="25" customFormat="false" ht="15" hidden="false" customHeight="true" outlineLevel="0" collapsed="false">
      <c r="A25" s="4" t="s">
        <v>65</v>
      </c>
      <c r="B25" s="4" t="s">
        <v>66</v>
      </c>
      <c r="C25" s="4" t="s">
        <v>67</v>
      </c>
      <c r="D25" s="4" t="s">
        <v>16</v>
      </c>
      <c r="E25" s="5" t="n">
        <v>7</v>
      </c>
      <c r="F25" s="5" t="n">
        <v>8</v>
      </c>
      <c r="G25" s="5" t="n">
        <v>10</v>
      </c>
      <c r="H25" s="5" t="n">
        <v>7</v>
      </c>
      <c r="I25" s="5" t="n">
        <v>7</v>
      </c>
      <c r="J25" s="5" t="n">
        <v>7</v>
      </c>
      <c r="K25" s="5" t="n">
        <v>7</v>
      </c>
      <c r="L25" s="6" t="n">
        <f aca="false">SUM(E25:K25)</f>
        <v>53</v>
      </c>
    </row>
    <row r="26" customFormat="false" ht="15" hidden="false" customHeight="true" outlineLevel="0" collapsed="false">
      <c r="A26" s="7" t="s">
        <v>68</v>
      </c>
      <c r="B26" s="7" t="s">
        <v>66</v>
      </c>
      <c r="C26" s="7" t="s">
        <v>69</v>
      </c>
      <c r="D26" s="7" t="s">
        <v>20</v>
      </c>
      <c r="E26" s="8" t="n">
        <v>10</v>
      </c>
      <c r="F26" s="8" t="n">
        <v>9</v>
      </c>
      <c r="G26" s="8" t="n">
        <v>10</v>
      </c>
      <c r="H26" s="8" t="n">
        <v>8</v>
      </c>
      <c r="I26" s="8" t="n">
        <v>9</v>
      </c>
      <c r="J26" s="8" t="n">
        <v>9</v>
      </c>
      <c r="K26" s="8" t="n">
        <v>8</v>
      </c>
      <c r="L26" s="9" t="n">
        <f aca="false">SUM(E26:K26)</f>
        <v>63</v>
      </c>
    </row>
    <row r="27" customFormat="false" ht="15" hidden="false" customHeight="true" outlineLevel="0" collapsed="false">
      <c r="A27" s="4" t="s">
        <v>70</v>
      </c>
      <c r="B27" s="4" t="s">
        <v>66</v>
      </c>
      <c r="C27" s="4" t="s">
        <v>71</v>
      </c>
      <c r="D27" s="4" t="s">
        <v>16</v>
      </c>
      <c r="E27" s="5" t="n">
        <v>7</v>
      </c>
      <c r="F27" s="5" t="n">
        <v>8</v>
      </c>
      <c r="G27" s="5" t="n">
        <v>9</v>
      </c>
      <c r="H27" s="5" t="n">
        <v>7</v>
      </c>
      <c r="I27" s="5" t="n">
        <v>7</v>
      </c>
      <c r="J27" s="5" t="n">
        <v>7</v>
      </c>
      <c r="K27" s="5" t="n">
        <v>6</v>
      </c>
      <c r="L27" s="6" t="n">
        <f aca="false">SUM(E27:K27)</f>
        <v>51</v>
      </c>
    </row>
    <row r="28" customFormat="false" ht="15" hidden="false" customHeight="true" outlineLevel="0" collapsed="false">
      <c r="A28" s="4" t="s">
        <v>72</v>
      </c>
      <c r="B28" s="4" t="s">
        <v>66</v>
      </c>
      <c r="C28" s="4" t="s">
        <v>73</v>
      </c>
      <c r="D28" s="4" t="s">
        <v>42</v>
      </c>
      <c r="E28" s="5" t="n">
        <v>8</v>
      </c>
      <c r="F28" s="5" t="n">
        <v>9</v>
      </c>
      <c r="G28" s="5" t="n">
        <v>10</v>
      </c>
      <c r="H28" s="5" t="n">
        <v>8</v>
      </c>
      <c r="I28" s="5" t="n">
        <v>9</v>
      </c>
      <c r="J28" s="5" t="n">
        <v>8</v>
      </c>
      <c r="K28" s="5" t="n">
        <v>8</v>
      </c>
      <c r="L28" s="6" t="n">
        <f aca="false">SUM(E28:K28)</f>
        <v>60</v>
      </c>
    </row>
    <row r="29" customFormat="false" ht="15" hidden="false" customHeight="true" outlineLevel="0" collapsed="false">
      <c r="A29" s="4" t="s">
        <v>74</v>
      </c>
      <c r="B29" s="4" t="s">
        <v>75</v>
      </c>
      <c r="C29" s="4" t="s">
        <v>76</v>
      </c>
      <c r="D29" s="4" t="s">
        <v>16</v>
      </c>
      <c r="E29" s="5" t="n">
        <v>7</v>
      </c>
      <c r="F29" s="5" t="n">
        <v>8</v>
      </c>
      <c r="G29" s="5" t="n">
        <v>8</v>
      </c>
      <c r="H29" s="5" t="n">
        <v>6</v>
      </c>
      <c r="I29" s="5" t="n">
        <v>6</v>
      </c>
      <c r="J29" s="5" t="n">
        <v>6</v>
      </c>
      <c r="K29" s="5" t="n">
        <v>4</v>
      </c>
      <c r="L29" s="6" t="n">
        <f aca="false">SUM(E29:K29)</f>
        <v>45</v>
      </c>
    </row>
    <row r="30" customFormat="false" ht="15" hidden="false" customHeight="true" outlineLevel="0" collapsed="false">
      <c r="A30" s="4" t="s">
        <v>77</v>
      </c>
      <c r="B30" s="4" t="s">
        <v>75</v>
      </c>
      <c r="C30" s="4" t="s">
        <v>78</v>
      </c>
      <c r="D30" s="4" t="s">
        <v>20</v>
      </c>
      <c r="E30" s="5" t="n">
        <v>7</v>
      </c>
      <c r="F30" s="5" t="n">
        <v>9</v>
      </c>
      <c r="G30" s="5" t="n">
        <v>7</v>
      </c>
      <c r="H30" s="5" t="n">
        <v>6</v>
      </c>
      <c r="I30" s="5" t="n">
        <v>7</v>
      </c>
      <c r="J30" s="5" t="n">
        <v>6</v>
      </c>
      <c r="K30" s="5" t="n">
        <v>5</v>
      </c>
      <c r="L30" s="6" t="n">
        <f aca="false">SUM(E30:K30)</f>
        <v>47</v>
      </c>
    </row>
    <row r="31" customFormat="false" ht="15" hidden="false" customHeight="true" outlineLevel="0" collapsed="false">
      <c r="A31" s="4" t="s">
        <v>79</v>
      </c>
      <c r="B31" s="4" t="s">
        <v>75</v>
      </c>
      <c r="C31" s="4" t="s">
        <v>80</v>
      </c>
      <c r="D31" s="4" t="s">
        <v>16</v>
      </c>
      <c r="E31" s="5" t="n">
        <v>6</v>
      </c>
      <c r="F31" s="5" t="n">
        <v>8</v>
      </c>
      <c r="G31" s="5" t="n">
        <v>8</v>
      </c>
      <c r="H31" s="5" t="n">
        <v>6</v>
      </c>
      <c r="I31" s="5" t="n">
        <v>6</v>
      </c>
      <c r="J31" s="5" t="n">
        <v>6</v>
      </c>
      <c r="K31" s="5" t="n">
        <v>4</v>
      </c>
      <c r="L31" s="6" t="n">
        <f aca="false">SUM(E31:K31)</f>
        <v>44</v>
      </c>
    </row>
    <row r="32" customFormat="false" ht="15" hidden="false" customHeight="true" outlineLevel="0" collapsed="false">
      <c r="A32" s="4" t="s">
        <v>81</v>
      </c>
      <c r="B32" s="4" t="s">
        <v>82</v>
      </c>
      <c r="C32" s="4" t="s">
        <v>83</v>
      </c>
      <c r="D32" s="4" t="s">
        <v>16</v>
      </c>
      <c r="E32" s="5" t="n">
        <v>7</v>
      </c>
      <c r="F32" s="5" t="n">
        <v>8</v>
      </c>
      <c r="G32" s="5" t="n">
        <v>5</v>
      </c>
      <c r="H32" s="5" t="n">
        <v>5</v>
      </c>
      <c r="I32" s="5" t="n">
        <v>6</v>
      </c>
      <c r="J32" s="5" t="n">
        <v>8</v>
      </c>
      <c r="K32" s="5" t="n">
        <v>4</v>
      </c>
      <c r="L32" s="6" t="n">
        <f aca="false">SUM(E32:K32)</f>
        <v>43</v>
      </c>
    </row>
    <row r="33" customFormat="false" ht="15" hidden="false" customHeight="true" outlineLevel="0" collapsed="false">
      <c r="A33" s="4" t="s">
        <v>84</v>
      </c>
      <c r="B33" s="4" t="s">
        <v>82</v>
      </c>
      <c r="C33" s="4" t="s">
        <v>85</v>
      </c>
      <c r="D33" s="4" t="s">
        <v>86</v>
      </c>
      <c r="E33" s="5" t="n">
        <v>9</v>
      </c>
      <c r="F33" s="5" t="n">
        <v>9</v>
      </c>
      <c r="G33" s="5" t="n">
        <v>6</v>
      </c>
      <c r="H33" s="5" t="n">
        <v>7</v>
      </c>
      <c r="I33" s="5" t="n">
        <v>9</v>
      </c>
      <c r="J33" s="5" t="n">
        <v>10</v>
      </c>
      <c r="K33" s="5" t="n">
        <v>6</v>
      </c>
      <c r="L33" s="6" t="n">
        <f aca="false">SUM(E33:K33)</f>
        <v>56</v>
      </c>
    </row>
    <row r="34" customFormat="false" ht="15" hidden="false" customHeight="true" outlineLevel="0" collapsed="false">
      <c r="A34" s="7" t="s">
        <v>87</v>
      </c>
      <c r="B34" s="7" t="s">
        <v>82</v>
      </c>
      <c r="C34" s="7" t="s">
        <v>88</v>
      </c>
      <c r="D34" s="7" t="s">
        <v>23</v>
      </c>
      <c r="E34" s="8" t="n">
        <v>9</v>
      </c>
      <c r="F34" s="8" t="n">
        <v>9</v>
      </c>
      <c r="G34" s="8" t="n">
        <v>9</v>
      </c>
      <c r="H34" s="8" t="n">
        <v>9</v>
      </c>
      <c r="I34" s="8" t="n">
        <v>9</v>
      </c>
      <c r="J34" s="8" t="n">
        <v>9</v>
      </c>
      <c r="K34" s="8" t="n">
        <v>8</v>
      </c>
      <c r="L34" s="9" t="n">
        <f aca="false">SUM(E34:K34)</f>
        <v>62</v>
      </c>
    </row>
    <row r="36" customFormat="false" ht="15" hidden="false" customHeight="true" outlineLevel="0" collapsed="false">
      <c r="A36" s="10" t="s">
        <v>89</v>
      </c>
      <c r="B36" s="10"/>
      <c r="C36" s="10"/>
      <c r="D36" s="10"/>
      <c r="E36" s="10"/>
      <c r="F36" s="10"/>
      <c r="G36" s="10"/>
      <c r="H36" s="10"/>
      <c r="I36" s="10"/>
      <c r="J36" s="10"/>
      <c r="K36" s="10"/>
      <c r="L36" s="10"/>
    </row>
    <row r="37" customFormat="false" ht="34.5" hidden="false" customHeight="true" outlineLevel="0" collapsed="false">
      <c r="A37" s="3" t="s">
        <v>90</v>
      </c>
      <c r="B37" s="3" t="s">
        <v>1</v>
      </c>
      <c r="C37" s="3" t="s">
        <v>3</v>
      </c>
      <c r="D37" s="3" t="s">
        <v>91</v>
      </c>
      <c r="E37" s="3" t="s">
        <v>92</v>
      </c>
      <c r="F37" s="3" t="s">
        <v>93</v>
      </c>
      <c r="G37" s="3" t="s">
        <v>94</v>
      </c>
    </row>
    <row r="38" customFormat="false" ht="79.5" hidden="false" customHeight="true" outlineLevel="0" collapsed="false">
      <c r="A38" s="8" t="n">
        <v>1</v>
      </c>
      <c r="B38" s="5" t="s">
        <v>34</v>
      </c>
      <c r="C38" s="5" t="s">
        <v>35</v>
      </c>
      <c r="D38" s="5" t="n">
        <v>63</v>
      </c>
      <c r="E38" s="5" t="s">
        <v>95</v>
      </c>
      <c r="F38" s="11" t="s">
        <v>96</v>
      </c>
      <c r="G38" s="11" t="s">
        <v>97</v>
      </c>
    </row>
    <row r="39" customFormat="false" ht="79.5" hidden="false" customHeight="true" outlineLevel="0" collapsed="false">
      <c r="A39" s="8" t="n">
        <v>2</v>
      </c>
      <c r="B39" s="5" t="s">
        <v>68</v>
      </c>
      <c r="C39" s="5" t="s">
        <v>69</v>
      </c>
      <c r="D39" s="5" t="n">
        <v>63</v>
      </c>
      <c r="E39" s="5" t="s">
        <v>98</v>
      </c>
      <c r="F39" s="11" t="s">
        <v>99</v>
      </c>
      <c r="G39" s="11" t="s">
        <v>100</v>
      </c>
    </row>
    <row r="40" customFormat="false" ht="79.5" hidden="false" customHeight="true" outlineLevel="0" collapsed="false">
      <c r="A40" s="8" t="n">
        <v>3</v>
      </c>
      <c r="B40" s="5" t="s">
        <v>29</v>
      </c>
      <c r="C40" s="5" t="s">
        <v>31</v>
      </c>
      <c r="D40" s="5" t="n">
        <v>62</v>
      </c>
      <c r="E40" s="5" t="s">
        <v>101</v>
      </c>
      <c r="F40" s="11" t="s">
        <v>102</v>
      </c>
      <c r="G40" s="11" t="s">
        <v>103</v>
      </c>
    </row>
    <row r="41" customFormat="false" ht="79.5" hidden="false" customHeight="true" outlineLevel="0" collapsed="false">
      <c r="A41" s="8" t="n">
        <v>4</v>
      </c>
      <c r="B41" s="5" t="s">
        <v>63</v>
      </c>
      <c r="C41" s="5" t="s">
        <v>104</v>
      </c>
      <c r="D41" s="5" t="n">
        <v>62</v>
      </c>
      <c r="E41" s="5" t="s">
        <v>105</v>
      </c>
      <c r="F41" s="11" t="s">
        <v>106</v>
      </c>
      <c r="G41" s="11" t="s">
        <v>107</v>
      </c>
    </row>
    <row r="42" customFormat="false" ht="79.5" hidden="false" customHeight="true" outlineLevel="0" collapsed="false">
      <c r="A42" s="8" t="n">
        <v>5</v>
      </c>
      <c r="B42" s="5" t="s">
        <v>87</v>
      </c>
      <c r="C42" s="5" t="s">
        <v>88</v>
      </c>
      <c r="D42" s="5" t="n">
        <v>62</v>
      </c>
      <c r="E42" s="5" t="s">
        <v>95</v>
      </c>
      <c r="F42" s="11" t="s">
        <v>108</v>
      </c>
      <c r="G42" s="11" t="s">
        <v>109</v>
      </c>
    </row>
    <row r="43" customFormat="false" ht="79.5" hidden="false" customHeight="true" outlineLevel="0" collapsed="false">
      <c r="A43" s="8" t="n">
        <v>6</v>
      </c>
      <c r="B43" s="5" t="s">
        <v>32</v>
      </c>
      <c r="C43" s="5" t="s">
        <v>33</v>
      </c>
      <c r="D43" s="5" t="n">
        <v>59</v>
      </c>
      <c r="E43" s="5" t="s">
        <v>110</v>
      </c>
      <c r="F43" s="11" t="s">
        <v>111</v>
      </c>
      <c r="G43" s="11" t="s">
        <v>112</v>
      </c>
    </row>
  </sheetData>
  <mergeCells count="2">
    <mergeCell ref="A1:L1"/>
    <mergeCell ref="A36:L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59669"/>
    <pageSetUpPr fitToPage="false"/>
  </sheetPr>
  <dimension ref="A1:C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65"/>
    <col collapsed="false" customWidth="true" hidden="false" outlineLevel="0" max="3" min="3" style="1" width="50"/>
  </cols>
  <sheetData>
    <row r="1" customFormat="false" ht="35.25" hidden="false" customHeight="true" outlineLevel="0" collapsed="false">
      <c r="A1" s="2" t="s">
        <v>113</v>
      </c>
      <c r="B1" s="2"/>
      <c r="C1" s="2"/>
    </row>
    <row r="3" customFormat="false" ht="15" hidden="false" customHeight="true" outlineLevel="0" collapsed="false">
      <c r="A3" s="12" t="s">
        <v>114</v>
      </c>
      <c r="B3" s="12"/>
      <c r="C3" s="12"/>
    </row>
    <row r="4" customFormat="false" ht="15" hidden="false" customHeight="true" outlineLevel="0" collapsed="false">
      <c r="A4" s="3" t="s">
        <v>115</v>
      </c>
      <c r="B4" s="3" t="s">
        <v>116</v>
      </c>
      <c r="C4" s="3" t="s">
        <v>117</v>
      </c>
    </row>
    <row r="5" customFormat="false" ht="15" hidden="false" customHeight="true" outlineLevel="0" collapsed="false">
      <c r="A5" s="13" t="s">
        <v>118</v>
      </c>
      <c r="B5" s="14" t="s">
        <v>119</v>
      </c>
      <c r="C5" s="14" t="s">
        <v>120</v>
      </c>
    </row>
    <row r="6" customFormat="false" ht="23.25" hidden="false" customHeight="true" outlineLevel="0" collapsed="false">
      <c r="A6" s="15" t="s">
        <v>121</v>
      </c>
      <c r="B6" s="11" t="s">
        <v>122</v>
      </c>
      <c r="C6" s="11" t="s">
        <v>123</v>
      </c>
    </row>
    <row r="7" customFormat="false" ht="15" hidden="false" customHeight="true" outlineLevel="0" collapsed="false">
      <c r="A7" s="15" t="s">
        <v>124</v>
      </c>
      <c r="B7" s="11" t="s">
        <v>125</v>
      </c>
      <c r="C7" s="11" t="s">
        <v>126</v>
      </c>
    </row>
    <row r="8" customFormat="false" ht="23.25" hidden="false" customHeight="true" outlineLevel="0" collapsed="false">
      <c r="A8" s="13" t="s">
        <v>127</v>
      </c>
      <c r="B8" s="14" t="s">
        <v>128</v>
      </c>
      <c r="C8" s="14" t="s">
        <v>129</v>
      </c>
    </row>
    <row r="9" customFormat="false" ht="23.25" hidden="false" customHeight="true" outlineLevel="0" collapsed="false">
      <c r="A9" s="15" t="s">
        <v>130</v>
      </c>
      <c r="B9" s="11" t="s">
        <v>131</v>
      </c>
      <c r="C9" s="11" t="s">
        <v>132</v>
      </c>
    </row>
    <row r="10" customFormat="false" ht="15" hidden="false" customHeight="true" outlineLevel="0" collapsed="false">
      <c r="A10" s="15" t="s">
        <v>133</v>
      </c>
      <c r="B10" s="11" t="s">
        <v>134</v>
      </c>
      <c r="C10" s="11" t="s">
        <v>135</v>
      </c>
    </row>
    <row r="11" customFormat="false" ht="23.25" hidden="false" customHeight="true" outlineLevel="0" collapsed="false">
      <c r="A11" s="15" t="s">
        <v>136</v>
      </c>
      <c r="B11" s="11" t="s">
        <v>137</v>
      </c>
      <c r="C11" s="11" t="s">
        <v>138</v>
      </c>
    </row>
    <row r="13" customFormat="false" ht="15" hidden="false" customHeight="true" outlineLevel="0" collapsed="false">
      <c r="A13" s="12" t="s">
        <v>139</v>
      </c>
      <c r="B13" s="12"/>
      <c r="C13" s="12"/>
    </row>
    <row r="14" customFormat="false" ht="15" hidden="false" customHeight="true" outlineLevel="0" collapsed="false">
      <c r="A14" s="3" t="s">
        <v>140</v>
      </c>
      <c r="B14" s="3" t="s">
        <v>141</v>
      </c>
      <c r="C14" s="3" t="s">
        <v>142</v>
      </c>
    </row>
    <row r="15" customFormat="false" ht="15" hidden="false" customHeight="true" outlineLevel="0" collapsed="false">
      <c r="A15" s="15" t="s">
        <v>143</v>
      </c>
      <c r="B15" s="11" t="s">
        <v>144</v>
      </c>
      <c r="C15" s="11" t="s">
        <v>145</v>
      </c>
    </row>
    <row r="16" customFormat="false" ht="23.25" hidden="false" customHeight="true" outlineLevel="0" collapsed="false">
      <c r="A16" s="15" t="s">
        <v>146</v>
      </c>
      <c r="B16" s="11" t="s">
        <v>147</v>
      </c>
      <c r="C16" s="11" t="s">
        <v>148</v>
      </c>
    </row>
    <row r="17" customFormat="false" ht="23.25" hidden="false" customHeight="true" outlineLevel="0" collapsed="false">
      <c r="A17" s="15" t="s">
        <v>149</v>
      </c>
      <c r="B17" s="11" t="s">
        <v>150</v>
      </c>
      <c r="C17" s="11" t="s">
        <v>151</v>
      </c>
    </row>
    <row r="18" customFormat="false" ht="15" hidden="false" customHeight="true" outlineLevel="0" collapsed="false">
      <c r="A18" s="15" t="s">
        <v>152</v>
      </c>
      <c r="B18" s="11" t="s">
        <v>153</v>
      </c>
      <c r="C18" s="11" t="s">
        <v>154</v>
      </c>
    </row>
    <row r="19" customFormat="false" ht="23.25" hidden="false" customHeight="true" outlineLevel="0" collapsed="false">
      <c r="A19" s="15" t="s">
        <v>155</v>
      </c>
      <c r="B19" s="11" t="s">
        <v>156</v>
      </c>
      <c r="C19" s="11" t="s">
        <v>157</v>
      </c>
    </row>
    <row r="20" customFormat="false" ht="15" hidden="false" customHeight="true" outlineLevel="0" collapsed="false">
      <c r="A20" s="15" t="s">
        <v>158</v>
      </c>
      <c r="B20" s="11" t="s">
        <v>159</v>
      </c>
      <c r="C20" s="11" t="s">
        <v>160</v>
      </c>
    </row>
    <row r="22" customFormat="false" ht="15" hidden="false" customHeight="true" outlineLevel="0" collapsed="false">
      <c r="A22" s="12" t="s">
        <v>161</v>
      </c>
      <c r="B22" s="12"/>
      <c r="C22" s="12"/>
    </row>
    <row r="23" customFormat="false" ht="15" hidden="false" customHeight="true" outlineLevel="0" collapsed="false">
      <c r="A23" s="3" t="s">
        <v>115</v>
      </c>
      <c r="B23" s="3" t="s">
        <v>116</v>
      </c>
      <c r="C23" s="3" t="s">
        <v>117</v>
      </c>
    </row>
    <row r="24" customFormat="false" ht="23.25" hidden="false" customHeight="true" outlineLevel="0" collapsed="false">
      <c r="A24" s="15" t="s">
        <v>162</v>
      </c>
      <c r="B24" s="11" t="s">
        <v>163</v>
      </c>
      <c r="C24" s="11" t="s">
        <v>164</v>
      </c>
    </row>
    <row r="25" customFormat="false" ht="15" hidden="false" customHeight="true" outlineLevel="0" collapsed="false">
      <c r="A25" s="15" t="s">
        <v>165</v>
      </c>
      <c r="B25" s="11" t="s">
        <v>166</v>
      </c>
      <c r="C25" s="11" t="s">
        <v>167</v>
      </c>
    </row>
    <row r="26" customFormat="false" ht="23.25" hidden="false" customHeight="true" outlineLevel="0" collapsed="false">
      <c r="A26" s="15" t="s">
        <v>133</v>
      </c>
      <c r="B26" s="11" t="s">
        <v>168</v>
      </c>
      <c r="C26" s="11" t="s">
        <v>169</v>
      </c>
    </row>
    <row r="27" customFormat="false" ht="15" hidden="false" customHeight="true" outlineLevel="0" collapsed="false">
      <c r="A27" s="15" t="s">
        <v>170</v>
      </c>
      <c r="B27" s="11" t="s">
        <v>171</v>
      </c>
      <c r="C27" s="11" t="s">
        <v>172</v>
      </c>
    </row>
    <row r="28" customFormat="false" ht="15" hidden="false" customHeight="true" outlineLevel="0" collapsed="false">
      <c r="A28" s="15" t="s">
        <v>173</v>
      </c>
      <c r="B28" s="11" t="s">
        <v>174</v>
      </c>
      <c r="C28" s="11" t="s">
        <v>175</v>
      </c>
    </row>
    <row r="29" customFormat="false" ht="15" hidden="false" customHeight="true" outlineLevel="0" collapsed="false">
      <c r="A29" s="15" t="s">
        <v>176</v>
      </c>
      <c r="B29" s="11" t="s">
        <v>177</v>
      </c>
      <c r="C29" s="11" t="s">
        <v>178</v>
      </c>
    </row>
    <row r="30" customFormat="false" ht="15" hidden="false" customHeight="true" outlineLevel="0" collapsed="false">
      <c r="A30" s="15" t="s">
        <v>179</v>
      </c>
      <c r="B30" s="11" t="s">
        <v>180</v>
      </c>
      <c r="C30" s="11" t="s">
        <v>181</v>
      </c>
    </row>
    <row r="31" customFormat="false" ht="15" hidden="false" customHeight="true" outlineLevel="0" collapsed="false">
      <c r="A31" s="15" t="s">
        <v>182</v>
      </c>
      <c r="B31" s="11" t="s">
        <v>183</v>
      </c>
      <c r="C31" s="11" t="s">
        <v>184</v>
      </c>
    </row>
    <row r="32" customFormat="false" ht="34.5" hidden="false" customHeight="true" outlineLevel="0" collapsed="false">
      <c r="A32" s="15" t="s">
        <v>185</v>
      </c>
      <c r="B32" s="11" t="s">
        <v>186</v>
      </c>
      <c r="C32" s="11" t="s">
        <v>187</v>
      </c>
    </row>
    <row r="33" customFormat="false" ht="23.25" hidden="false" customHeight="true" outlineLevel="0" collapsed="false">
      <c r="A33" s="16" t="s">
        <v>188</v>
      </c>
      <c r="B33" s="17" t="s">
        <v>189</v>
      </c>
      <c r="C33" s="17" t="s">
        <v>190</v>
      </c>
    </row>
    <row r="34" customFormat="false" ht="15" hidden="false" customHeight="true" outlineLevel="0" collapsed="false">
      <c r="A34" s="15" t="s">
        <v>191</v>
      </c>
      <c r="B34" s="11" t="s">
        <v>192</v>
      </c>
      <c r="C34" s="11" t="s">
        <v>193</v>
      </c>
    </row>
    <row r="35" customFormat="false" ht="15" hidden="false" customHeight="true" outlineLevel="0" collapsed="false">
      <c r="A35" s="15" t="s">
        <v>194</v>
      </c>
      <c r="B35" s="11" t="s">
        <v>195</v>
      </c>
      <c r="C35" s="11" t="s">
        <v>196</v>
      </c>
    </row>
    <row r="36" customFormat="false" ht="15" hidden="false" customHeight="true" outlineLevel="0" collapsed="false">
      <c r="A36" s="15" t="s">
        <v>197</v>
      </c>
      <c r="B36" s="11" t="s">
        <v>198</v>
      </c>
      <c r="C36" s="11" t="s">
        <v>199</v>
      </c>
    </row>
    <row r="38" customFormat="false" ht="15" hidden="false" customHeight="true" outlineLevel="0" collapsed="false">
      <c r="A38" s="12" t="s">
        <v>200</v>
      </c>
      <c r="B38" s="12"/>
      <c r="C38" s="12"/>
    </row>
    <row r="39" customFormat="false" ht="15" hidden="false" customHeight="true" outlineLevel="0" collapsed="false">
      <c r="A39" s="3" t="s">
        <v>115</v>
      </c>
      <c r="B39" s="3" t="s">
        <v>116</v>
      </c>
      <c r="C39" s="3" t="s">
        <v>117</v>
      </c>
    </row>
    <row r="40" customFormat="false" ht="23.25" hidden="false" customHeight="true" outlineLevel="0" collapsed="false">
      <c r="A40" s="15" t="s">
        <v>162</v>
      </c>
      <c r="B40" s="11" t="s">
        <v>201</v>
      </c>
      <c r="C40" s="11" t="s">
        <v>202</v>
      </c>
    </row>
    <row r="41" customFormat="false" ht="15" hidden="false" customHeight="true" outlineLevel="0" collapsed="false">
      <c r="A41" s="15" t="s">
        <v>203</v>
      </c>
      <c r="B41" s="11" t="s">
        <v>204</v>
      </c>
      <c r="C41" s="11" t="s">
        <v>205</v>
      </c>
    </row>
    <row r="42" customFormat="false" ht="23.25" hidden="false" customHeight="true" outlineLevel="0" collapsed="false">
      <c r="A42" s="15" t="s">
        <v>165</v>
      </c>
      <c r="B42" s="11" t="s">
        <v>206</v>
      </c>
      <c r="C42" s="11" t="s">
        <v>207</v>
      </c>
    </row>
    <row r="43" customFormat="false" ht="15" hidden="false" customHeight="true" outlineLevel="0" collapsed="false">
      <c r="A43" s="15" t="s">
        <v>133</v>
      </c>
      <c r="B43" s="11" t="s">
        <v>168</v>
      </c>
      <c r="C43" s="11" t="s">
        <v>208</v>
      </c>
    </row>
    <row r="44" customFormat="false" ht="15" hidden="false" customHeight="true" outlineLevel="0" collapsed="false">
      <c r="A44" s="15" t="s">
        <v>170</v>
      </c>
      <c r="B44" s="11" t="s">
        <v>209</v>
      </c>
      <c r="C44" s="11" t="s">
        <v>210</v>
      </c>
    </row>
    <row r="45" customFormat="false" ht="23.25" hidden="false" customHeight="true" outlineLevel="0" collapsed="false">
      <c r="A45" s="15" t="s">
        <v>211</v>
      </c>
      <c r="B45" s="11" t="s">
        <v>212</v>
      </c>
      <c r="C45" s="11" t="s">
        <v>213</v>
      </c>
    </row>
    <row r="46" customFormat="false" ht="15" hidden="false" customHeight="true" outlineLevel="0" collapsed="false">
      <c r="A46" s="15" t="s">
        <v>185</v>
      </c>
      <c r="B46" s="11" t="s">
        <v>214</v>
      </c>
      <c r="C46" s="11" t="s">
        <v>215</v>
      </c>
    </row>
    <row r="47" customFormat="false" ht="23.25" hidden="false" customHeight="true" outlineLevel="0" collapsed="false">
      <c r="A47" s="16" t="s">
        <v>188</v>
      </c>
      <c r="B47" s="17" t="s">
        <v>216</v>
      </c>
      <c r="C47" s="17" t="s">
        <v>217</v>
      </c>
    </row>
    <row r="48" customFormat="false" ht="15" hidden="false" customHeight="true" outlineLevel="0" collapsed="false">
      <c r="A48" s="15" t="s">
        <v>191</v>
      </c>
      <c r="B48" s="11" t="s">
        <v>218</v>
      </c>
      <c r="C48" s="11" t="s">
        <v>219</v>
      </c>
    </row>
    <row r="49" customFormat="false" ht="15" hidden="false" customHeight="true" outlineLevel="0" collapsed="false">
      <c r="A49" s="15" t="s">
        <v>194</v>
      </c>
      <c r="B49" s="11" t="s">
        <v>220</v>
      </c>
      <c r="C49" s="11" t="s">
        <v>221</v>
      </c>
    </row>
    <row r="50" customFormat="false" ht="15" hidden="false" customHeight="true" outlineLevel="0" collapsed="false">
      <c r="A50" s="15" t="s">
        <v>197</v>
      </c>
      <c r="B50" s="11" t="s">
        <v>198</v>
      </c>
      <c r="C50" s="11" t="s">
        <v>222</v>
      </c>
    </row>
    <row r="51" customFormat="false" ht="23.25" hidden="false" customHeight="true" outlineLevel="0" collapsed="false">
      <c r="A51" s="15" t="s">
        <v>223</v>
      </c>
      <c r="B51" s="11" t="s">
        <v>224</v>
      </c>
      <c r="C51" s="11" t="s">
        <v>225</v>
      </c>
    </row>
    <row r="53" customFormat="false" ht="15" hidden="false" customHeight="true" outlineLevel="0" collapsed="false">
      <c r="A53" s="12" t="s">
        <v>226</v>
      </c>
      <c r="B53" s="12"/>
      <c r="C53" s="12"/>
    </row>
    <row r="54" customFormat="false" ht="15" hidden="false" customHeight="true" outlineLevel="0" collapsed="false">
      <c r="A54" s="3" t="s">
        <v>115</v>
      </c>
      <c r="B54" s="3" t="s">
        <v>116</v>
      </c>
      <c r="C54" s="3" t="s">
        <v>117</v>
      </c>
    </row>
    <row r="55" customFormat="false" ht="15" hidden="false" customHeight="true" outlineLevel="0" collapsed="false">
      <c r="A55" s="15" t="s">
        <v>227</v>
      </c>
      <c r="B55" s="11" t="s">
        <v>228</v>
      </c>
      <c r="C55" s="11" t="s">
        <v>229</v>
      </c>
    </row>
    <row r="56" customFormat="false" ht="23.25" hidden="false" customHeight="true" outlineLevel="0" collapsed="false">
      <c r="A56" s="15" t="s">
        <v>230</v>
      </c>
      <c r="B56" s="11" t="s">
        <v>231</v>
      </c>
      <c r="C56" s="11" t="s">
        <v>232</v>
      </c>
    </row>
    <row r="57" customFormat="false" ht="15" hidden="false" customHeight="true" outlineLevel="0" collapsed="false">
      <c r="A57" s="15" t="s">
        <v>233</v>
      </c>
      <c r="B57" s="11" t="s">
        <v>234</v>
      </c>
      <c r="C57" s="11" t="s">
        <v>235</v>
      </c>
    </row>
    <row r="58" customFormat="false" ht="15" hidden="false" customHeight="true" outlineLevel="0" collapsed="false">
      <c r="A58" s="15" t="s">
        <v>236</v>
      </c>
      <c r="B58" s="11" t="s">
        <v>237</v>
      </c>
      <c r="C58" s="11" t="s">
        <v>238</v>
      </c>
    </row>
    <row r="59" customFormat="false" ht="15" hidden="false" customHeight="true" outlineLevel="0" collapsed="false">
      <c r="A59" s="15" t="s">
        <v>239</v>
      </c>
      <c r="B59" s="11" t="s">
        <v>240</v>
      </c>
      <c r="C59" s="11" t="s">
        <v>241</v>
      </c>
    </row>
    <row r="60" customFormat="false" ht="45.75" hidden="false" customHeight="true" outlineLevel="0" collapsed="false">
      <c r="A60" s="15" t="s">
        <v>242</v>
      </c>
      <c r="B60" s="11" t="s">
        <v>243</v>
      </c>
      <c r="C60" s="11" t="s">
        <v>244</v>
      </c>
    </row>
    <row r="61" customFormat="false" ht="23.25" hidden="false" customHeight="true" outlineLevel="0" collapsed="false">
      <c r="A61" s="16" t="s">
        <v>188</v>
      </c>
      <c r="B61" s="17" t="s">
        <v>245</v>
      </c>
      <c r="C61" s="17" t="s">
        <v>246</v>
      </c>
    </row>
    <row r="62" customFormat="false" ht="15" hidden="false" customHeight="true" outlineLevel="0" collapsed="false">
      <c r="A62" s="15" t="s">
        <v>191</v>
      </c>
      <c r="B62" s="11" t="s">
        <v>247</v>
      </c>
      <c r="C62" s="11" t="s">
        <v>248</v>
      </c>
    </row>
    <row r="63" customFormat="false" ht="23.25" hidden="false" customHeight="true" outlineLevel="0" collapsed="false">
      <c r="A63" s="15" t="s">
        <v>194</v>
      </c>
      <c r="B63" s="11" t="s">
        <v>249</v>
      </c>
      <c r="C63" s="11" t="s">
        <v>250</v>
      </c>
    </row>
    <row r="64" customFormat="false" ht="15" hidden="false" customHeight="true" outlineLevel="0" collapsed="false">
      <c r="A64" s="15" t="s">
        <v>251</v>
      </c>
      <c r="B64" s="11" t="s">
        <v>252</v>
      </c>
      <c r="C64" s="11" t="s">
        <v>253</v>
      </c>
    </row>
    <row r="65" customFormat="false" ht="15" hidden="false" customHeight="true" outlineLevel="0" collapsed="false">
      <c r="A65" s="15" t="s">
        <v>254</v>
      </c>
      <c r="B65" s="11" t="s">
        <v>255</v>
      </c>
      <c r="C65" s="11" t="s">
        <v>256</v>
      </c>
    </row>
    <row r="67" customFormat="false" ht="15" hidden="false" customHeight="true" outlineLevel="0" collapsed="false">
      <c r="A67" s="12" t="s">
        <v>257</v>
      </c>
      <c r="B67" s="12"/>
      <c r="C67" s="12"/>
    </row>
    <row r="68" customFormat="false" ht="15" hidden="false" customHeight="true" outlineLevel="0" collapsed="false">
      <c r="A68" s="3" t="s">
        <v>258</v>
      </c>
      <c r="B68" s="3" t="s">
        <v>259</v>
      </c>
      <c r="C68" s="3" t="s">
        <v>141</v>
      </c>
    </row>
    <row r="69" customFormat="false" ht="15" hidden="false" customHeight="true" outlineLevel="0" collapsed="false">
      <c r="A69" s="18" t="s">
        <v>260</v>
      </c>
      <c r="B69" s="19" t="s">
        <v>261</v>
      </c>
      <c r="C69" s="19" t="s">
        <v>262</v>
      </c>
    </row>
    <row r="70" customFormat="false" ht="15" hidden="false" customHeight="true" outlineLevel="0" collapsed="false">
      <c r="A70" s="18" t="s">
        <v>263</v>
      </c>
      <c r="B70" s="19" t="s">
        <v>264</v>
      </c>
      <c r="C70" s="19" t="s">
        <v>265</v>
      </c>
    </row>
    <row r="71" customFormat="false" ht="15" hidden="false" customHeight="true" outlineLevel="0" collapsed="false">
      <c r="A71" s="18" t="s">
        <v>266</v>
      </c>
      <c r="B71" s="19" t="s">
        <v>267</v>
      </c>
      <c r="C71" s="19" t="s">
        <v>268</v>
      </c>
    </row>
    <row r="72" customFormat="false" ht="23.25" hidden="false" customHeight="true" outlineLevel="0" collapsed="false">
      <c r="A72" s="18" t="s">
        <v>269</v>
      </c>
      <c r="B72" s="19" t="s">
        <v>270</v>
      </c>
      <c r="C72" s="19" t="s">
        <v>271</v>
      </c>
    </row>
    <row r="73" customFormat="false" ht="23.25" hidden="false" customHeight="true" outlineLevel="0" collapsed="false">
      <c r="A73" s="18" t="s">
        <v>272</v>
      </c>
      <c r="B73" s="19" t="s">
        <v>273</v>
      </c>
      <c r="C73" s="19" t="s">
        <v>274</v>
      </c>
    </row>
  </sheetData>
  <mergeCells count="7">
    <mergeCell ref="A1:C1"/>
    <mergeCell ref="A3:C3"/>
    <mergeCell ref="A13:C13"/>
    <mergeCell ref="A22:C22"/>
    <mergeCell ref="A38:C38"/>
    <mergeCell ref="A53:C53"/>
    <mergeCell ref="A67:C6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7706"/>
    <pageSetUpPr fitToPage="false"/>
  </sheetPr>
  <dimension ref="A1:H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26"/>
    <col collapsed="false" customWidth="true" hidden="false" outlineLevel="0" max="3" min="3" style="0" width="24"/>
    <col collapsed="false" customWidth="true" hidden="false" outlineLevel="0" max="4" min="4" style="0" width="16"/>
    <col collapsed="false" customWidth="true" hidden="false" outlineLevel="0" max="5" min="5" style="0" width="12"/>
    <col collapsed="false" customWidth="true" hidden="false" outlineLevel="0" max="6" min="6" style="0" width="32"/>
    <col collapsed="false" customWidth="true" hidden="false" outlineLevel="0" max="7" min="7" style="0" width="16"/>
    <col collapsed="false" customWidth="true" hidden="false" outlineLevel="0" max="8" min="8" style="0" width="18"/>
  </cols>
  <sheetData>
    <row r="1" customFormat="false" ht="19.7" hidden="false" customHeight="true" outlineLevel="0" collapsed="false">
      <c r="A1" s="2" t="s">
        <v>275</v>
      </c>
      <c r="B1" s="2"/>
      <c r="C1" s="2"/>
      <c r="D1" s="2"/>
      <c r="E1" s="2"/>
      <c r="F1" s="2"/>
      <c r="G1" s="2"/>
      <c r="H1" s="2"/>
    </row>
    <row r="3" customFormat="false" ht="15" hidden="false" customHeight="true" outlineLevel="0" collapsed="false">
      <c r="A3" s="12" t="s">
        <v>276</v>
      </c>
      <c r="B3" s="12"/>
      <c r="C3" s="12"/>
      <c r="D3" s="12"/>
      <c r="E3" s="12"/>
      <c r="F3" s="12"/>
      <c r="G3" s="12"/>
      <c r="H3" s="12"/>
    </row>
    <row r="4" customFormat="false" ht="15" hidden="false" customHeight="false" outlineLevel="0" collapsed="false">
      <c r="A4" s="3" t="s">
        <v>277</v>
      </c>
      <c r="B4" s="3" t="s">
        <v>278</v>
      </c>
      <c r="C4" s="3" t="s">
        <v>279</v>
      </c>
      <c r="D4" s="3" t="s">
        <v>280</v>
      </c>
      <c r="E4" s="3" t="s">
        <v>281</v>
      </c>
      <c r="F4" s="3" t="s">
        <v>282</v>
      </c>
    </row>
    <row r="5" customFormat="false" ht="69.75" hidden="false" customHeight="true" outlineLevel="0" collapsed="false">
      <c r="A5" s="20" t="s">
        <v>283</v>
      </c>
      <c r="B5" s="20" t="s">
        <v>284</v>
      </c>
      <c r="C5" s="20" t="s">
        <v>285</v>
      </c>
      <c r="D5" s="20" t="s">
        <v>286</v>
      </c>
      <c r="E5" s="20" t="s">
        <v>287</v>
      </c>
      <c r="F5" s="20" t="s">
        <v>288</v>
      </c>
    </row>
    <row r="6" customFormat="false" ht="69.75" hidden="false" customHeight="true" outlineLevel="0" collapsed="false">
      <c r="A6" s="21" t="s">
        <v>289</v>
      </c>
      <c r="B6" s="21" t="s">
        <v>290</v>
      </c>
      <c r="C6" s="21" t="s">
        <v>291</v>
      </c>
      <c r="D6" s="21" t="s">
        <v>292</v>
      </c>
      <c r="E6" s="21" t="s">
        <v>293</v>
      </c>
      <c r="F6" s="21" t="s">
        <v>294</v>
      </c>
    </row>
    <row r="7" customFormat="false" ht="68.65" hidden="false" customHeight="false" outlineLevel="0" collapsed="false">
      <c r="A7" s="13" t="s">
        <v>295</v>
      </c>
      <c r="B7" s="13" t="s">
        <v>296</v>
      </c>
      <c r="C7" s="13" t="s">
        <v>297</v>
      </c>
      <c r="D7" s="13" t="s">
        <v>298</v>
      </c>
      <c r="E7" s="13" t="s">
        <v>299</v>
      </c>
      <c r="F7" s="13" t="s">
        <v>300</v>
      </c>
    </row>
    <row r="9" customFormat="false" ht="15" hidden="false" customHeight="true" outlineLevel="0" collapsed="false">
      <c r="A9" s="12" t="s">
        <v>301</v>
      </c>
      <c r="B9" s="12"/>
      <c r="C9" s="12"/>
      <c r="D9" s="12"/>
      <c r="E9" s="12"/>
      <c r="F9" s="12"/>
      <c r="G9" s="12"/>
      <c r="H9" s="12"/>
    </row>
    <row r="10" customFormat="false" ht="15" hidden="false" customHeight="false" outlineLevel="0" collapsed="false">
      <c r="A10" s="3" t="s">
        <v>302</v>
      </c>
      <c r="B10" s="22" t="s">
        <v>303</v>
      </c>
      <c r="C10" s="23" t="s">
        <v>304</v>
      </c>
    </row>
    <row r="11" customFormat="false" ht="35.05" hidden="false" customHeight="false" outlineLevel="0" collapsed="false">
      <c r="A11" s="15" t="s">
        <v>278</v>
      </c>
      <c r="B11" s="24" t="s">
        <v>305</v>
      </c>
      <c r="C11" s="25" t="s">
        <v>306</v>
      </c>
    </row>
    <row r="12" customFormat="false" ht="15" hidden="false" customHeight="false" outlineLevel="0" collapsed="false">
      <c r="A12" s="15" t="s">
        <v>307</v>
      </c>
      <c r="B12" s="24" t="s">
        <v>308</v>
      </c>
      <c r="C12" s="25" t="s">
        <v>308</v>
      </c>
    </row>
    <row r="13" customFormat="false" ht="23.85" hidden="false" customHeight="false" outlineLevel="0" collapsed="false">
      <c r="A13" s="15" t="s">
        <v>309</v>
      </c>
      <c r="B13" s="24" t="s">
        <v>310</v>
      </c>
      <c r="C13" s="25" t="s">
        <v>311</v>
      </c>
    </row>
    <row r="14" customFormat="false" ht="15" hidden="false" customHeight="false" outlineLevel="0" collapsed="false">
      <c r="A14" s="15" t="s">
        <v>312</v>
      </c>
      <c r="B14" s="24" t="s">
        <v>313</v>
      </c>
      <c r="C14" s="25" t="s">
        <v>313</v>
      </c>
    </row>
    <row r="15" customFormat="false" ht="23.85" hidden="false" customHeight="false" outlineLevel="0" collapsed="false">
      <c r="A15" s="15" t="s">
        <v>314</v>
      </c>
      <c r="B15" s="24" t="s">
        <v>315</v>
      </c>
      <c r="C15" s="25" t="s">
        <v>316</v>
      </c>
    </row>
    <row r="16" customFormat="false" ht="57.45" hidden="false" customHeight="false" outlineLevel="0" collapsed="false">
      <c r="A16" s="15" t="s">
        <v>317</v>
      </c>
      <c r="B16" s="24" t="s">
        <v>318</v>
      </c>
      <c r="C16" s="25" t="s">
        <v>319</v>
      </c>
    </row>
    <row r="18" customFormat="false" ht="15" hidden="false" customHeight="true" outlineLevel="0" collapsed="false">
      <c r="A18" s="26" t="s">
        <v>320</v>
      </c>
      <c r="B18" s="26"/>
      <c r="C18" s="26"/>
      <c r="D18" s="26"/>
      <c r="E18" s="26"/>
      <c r="F18" s="26"/>
      <c r="G18" s="26"/>
      <c r="H18" s="26"/>
    </row>
    <row r="19" customFormat="false" ht="15" hidden="false" customHeight="false" outlineLevel="0" collapsed="false">
      <c r="A19" s="3" t="s">
        <v>321</v>
      </c>
      <c r="B19" s="3" t="s">
        <v>322</v>
      </c>
      <c r="C19" s="3" t="s">
        <v>323</v>
      </c>
      <c r="D19" s="3" t="s">
        <v>194</v>
      </c>
      <c r="E19" s="3" t="s">
        <v>324</v>
      </c>
      <c r="F19" s="3" t="s">
        <v>325</v>
      </c>
      <c r="G19" s="3" t="s">
        <v>326</v>
      </c>
      <c r="H19" s="3" t="s">
        <v>327</v>
      </c>
    </row>
    <row r="20" customFormat="false" ht="23.85" hidden="false" customHeight="false" outlineLevel="0" collapsed="false">
      <c r="A20" s="20" t="s">
        <v>328</v>
      </c>
      <c r="B20" s="24" t="s">
        <v>329</v>
      </c>
      <c r="C20" s="27" t="s">
        <v>330</v>
      </c>
      <c r="D20" s="27" t="s">
        <v>331</v>
      </c>
      <c r="E20" s="24" t="s">
        <v>332</v>
      </c>
      <c r="F20" s="24" t="s">
        <v>333</v>
      </c>
      <c r="G20" s="27" t="s">
        <v>334</v>
      </c>
      <c r="H20" s="27" t="s">
        <v>335</v>
      </c>
    </row>
    <row r="21" customFormat="false" ht="15" hidden="false" customHeight="false" outlineLevel="0" collapsed="false">
      <c r="A21" s="11"/>
      <c r="B21" s="11"/>
      <c r="C21" s="5"/>
      <c r="D21" s="5"/>
      <c r="E21" s="11" t="s">
        <v>336</v>
      </c>
      <c r="F21" s="11" t="s">
        <v>337</v>
      </c>
      <c r="G21" s="5" t="s">
        <v>338</v>
      </c>
      <c r="H21" s="5" t="s">
        <v>335</v>
      </c>
    </row>
    <row r="22" customFormat="false" ht="15" hidden="false" customHeight="false" outlineLevel="0" collapsed="false">
      <c r="A22" s="11"/>
      <c r="B22" s="11"/>
      <c r="C22" s="5"/>
      <c r="D22" s="5"/>
      <c r="E22" s="11" t="s">
        <v>339</v>
      </c>
      <c r="F22" s="11" t="s">
        <v>340</v>
      </c>
      <c r="G22" s="5" t="s">
        <v>341</v>
      </c>
      <c r="H22" s="5" t="s">
        <v>335</v>
      </c>
    </row>
    <row r="23" customFormat="false" ht="35.05" hidden="false" customHeight="false" outlineLevel="0" collapsed="false">
      <c r="A23" s="20" t="s">
        <v>342</v>
      </c>
      <c r="B23" s="24" t="s">
        <v>343</v>
      </c>
      <c r="C23" s="27" t="s">
        <v>344</v>
      </c>
      <c r="D23" s="27" t="s">
        <v>345</v>
      </c>
      <c r="E23" s="24" t="s">
        <v>346</v>
      </c>
      <c r="F23" s="24" t="s">
        <v>347</v>
      </c>
      <c r="G23" s="27" t="s">
        <v>334</v>
      </c>
      <c r="H23" s="27" t="s">
        <v>335</v>
      </c>
    </row>
    <row r="24" customFormat="false" ht="15" hidden="false" customHeight="false" outlineLevel="0" collapsed="false">
      <c r="A24" s="11"/>
      <c r="B24" s="11"/>
      <c r="C24" s="5"/>
      <c r="D24" s="5"/>
      <c r="E24" s="11" t="s">
        <v>348</v>
      </c>
      <c r="F24" s="11" t="s">
        <v>349</v>
      </c>
      <c r="G24" s="5" t="s">
        <v>350</v>
      </c>
      <c r="H24" s="5" t="s">
        <v>335</v>
      </c>
    </row>
    <row r="26" customFormat="false" ht="15" hidden="false" customHeight="true" outlineLevel="0" collapsed="false">
      <c r="A26" s="28" t="s">
        <v>351</v>
      </c>
      <c r="B26" s="28"/>
      <c r="C26" s="28"/>
      <c r="D26" s="28"/>
      <c r="E26" s="28"/>
      <c r="F26" s="28"/>
      <c r="G26" s="28"/>
      <c r="H26" s="28"/>
    </row>
    <row r="27" customFormat="false" ht="15" hidden="false" customHeight="true" outlineLevel="0" collapsed="false">
      <c r="A27" s="29" t="s">
        <v>352</v>
      </c>
      <c r="B27" s="29"/>
      <c r="C27" s="29"/>
      <c r="D27" s="29"/>
      <c r="E27" s="29"/>
      <c r="F27" s="29"/>
      <c r="G27" s="29"/>
      <c r="H27" s="29"/>
    </row>
    <row r="28" customFormat="false" ht="15" hidden="false" customHeight="false" outlineLevel="0" collapsed="false">
      <c r="A28" s="3" t="s">
        <v>115</v>
      </c>
      <c r="B28" s="3" t="s">
        <v>116</v>
      </c>
      <c r="C28" s="3" t="s">
        <v>117</v>
      </c>
    </row>
    <row r="29" customFormat="false" ht="46.25" hidden="false" customHeight="false" outlineLevel="0" collapsed="false">
      <c r="A29" s="15" t="s">
        <v>162</v>
      </c>
      <c r="B29" s="11" t="s">
        <v>353</v>
      </c>
      <c r="C29" s="11" t="s">
        <v>354</v>
      </c>
    </row>
    <row r="30" customFormat="false" ht="46.25" hidden="false" customHeight="false" outlineLevel="0" collapsed="false">
      <c r="A30" s="15" t="s">
        <v>203</v>
      </c>
      <c r="B30" s="11" t="s">
        <v>355</v>
      </c>
      <c r="C30" s="11" t="s">
        <v>356</v>
      </c>
    </row>
    <row r="31" customFormat="false" ht="35.05" hidden="false" customHeight="false" outlineLevel="0" collapsed="false">
      <c r="A31" s="15" t="s">
        <v>165</v>
      </c>
      <c r="B31" s="11" t="s">
        <v>357</v>
      </c>
      <c r="C31" s="11" t="s">
        <v>358</v>
      </c>
    </row>
    <row r="32" customFormat="false" ht="15" hidden="false" customHeight="false" outlineLevel="0" collapsed="false">
      <c r="A32" s="15" t="s">
        <v>133</v>
      </c>
      <c r="B32" s="11" t="s">
        <v>359</v>
      </c>
      <c r="C32" s="11" t="s">
        <v>360</v>
      </c>
    </row>
    <row r="33" customFormat="false" ht="57.45" hidden="false" customHeight="false" outlineLevel="0" collapsed="false">
      <c r="A33" s="15" t="s">
        <v>211</v>
      </c>
      <c r="B33" s="11" t="s">
        <v>361</v>
      </c>
      <c r="C33" s="11" t="s">
        <v>362</v>
      </c>
    </row>
    <row r="34" customFormat="false" ht="57.45" hidden="false" customHeight="false" outlineLevel="0" collapsed="false">
      <c r="A34" s="15" t="s">
        <v>185</v>
      </c>
      <c r="B34" s="11" t="s">
        <v>363</v>
      </c>
      <c r="C34" s="11" t="s">
        <v>364</v>
      </c>
    </row>
    <row r="35" customFormat="false" ht="35.05" hidden="false" customHeight="false" outlineLevel="0" collapsed="false">
      <c r="A35" s="16" t="s">
        <v>188</v>
      </c>
      <c r="B35" s="17" t="s">
        <v>365</v>
      </c>
      <c r="C35" s="17" t="s">
        <v>366</v>
      </c>
    </row>
    <row r="36" customFormat="false" ht="68.65" hidden="false" customHeight="false" outlineLevel="0" collapsed="false">
      <c r="A36" s="15" t="s">
        <v>367</v>
      </c>
      <c r="B36" s="11" t="s">
        <v>368</v>
      </c>
      <c r="C36" s="11" t="s">
        <v>369</v>
      </c>
    </row>
    <row r="37" customFormat="false" ht="46.25" hidden="false" customHeight="false" outlineLevel="0" collapsed="false">
      <c r="A37" s="15" t="s">
        <v>370</v>
      </c>
      <c r="B37" s="11" t="s">
        <v>371</v>
      </c>
      <c r="C37" s="11" t="s">
        <v>372</v>
      </c>
    </row>
    <row r="39" customFormat="false" ht="15" hidden="false" customHeight="false" outlineLevel="0" collapsed="false">
      <c r="A39" s="3" t="s">
        <v>321</v>
      </c>
      <c r="B39" s="3" t="s">
        <v>322</v>
      </c>
      <c r="C39" s="3" t="s">
        <v>323</v>
      </c>
      <c r="D39" s="3" t="s">
        <v>194</v>
      </c>
      <c r="E39" s="3" t="s">
        <v>324</v>
      </c>
      <c r="F39" s="3" t="s">
        <v>373</v>
      </c>
      <c r="G39" s="3" t="s">
        <v>326</v>
      </c>
      <c r="H39" s="3" t="s">
        <v>327</v>
      </c>
    </row>
    <row r="40" customFormat="false" ht="60" hidden="false" customHeight="true" outlineLevel="0" collapsed="false">
      <c r="A40" s="21" t="s">
        <v>374</v>
      </c>
      <c r="B40" s="25" t="s">
        <v>375</v>
      </c>
      <c r="C40" s="30" t="s">
        <v>376</v>
      </c>
      <c r="D40" s="30" t="s">
        <v>377</v>
      </c>
      <c r="E40" s="25" t="s">
        <v>378</v>
      </c>
      <c r="F40" s="25" t="s">
        <v>379</v>
      </c>
      <c r="G40" s="30" t="s">
        <v>334</v>
      </c>
      <c r="H40" s="30" t="s">
        <v>335</v>
      </c>
    </row>
    <row r="41" customFormat="false" ht="60" hidden="false" customHeight="true" outlineLevel="0" collapsed="false">
      <c r="A41" s="11"/>
      <c r="B41" s="11"/>
      <c r="C41" s="5"/>
      <c r="D41" s="5"/>
      <c r="E41" s="11" t="s">
        <v>380</v>
      </c>
      <c r="F41" s="11" t="s">
        <v>381</v>
      </c>
      <c r="G41" s="5" t="s">
        <v>350</v>
      </c>
      <c r="H41" s="5" t="s">
        <v>335</v>
      </c>
    </row>
    <row r="42" customFormat="false" ht="60" hidden="false" customHeight="true" outlineLevel="0" collapsed="false">
      <c r="A42" s="11"/>
      <c r="B42" s="11"/>
      <c r="C42" s="5"/>
      <c r="D42" s="5"/>
      <c r="E42" s="11" t="s">
        <v>382</v>
      </c>
      <c r="F42" s="11" t="s">
        <v>383</v>
      </c>
      <c r="G42" s="5" t="s">
        <v>341</v>
      </c>
      <c r="H42" s="5" t="s">
        <v>384</v>
      </c>
    </row>
    <row r="44" customFormat="false" ht="15" hidden="false" customHeight="true" outlineLevel="0" collapsed="false">
      <c r="A44" s="28" t="s">
        <v>385</v>
      </c>
      <c r="B44" s="28"/>
      <c r="C44" s="28"/>
      <c r="D44" s="28"/>
      <c r="E44" s="28"/>
      <c r="F44" s="28"/>
      <c r="G44" s="28"/>
      <c r="H44" s="28"/>
    </row>
    <row r="45" customFormat="false" ht="15" hidden="false" customHeight="false" outlineLevel="0" collapsed="false">
      <c r="A45" s="3" t="s">
        <v>386</v>
      </c>
      <c r="B45" s="3" t="s">
        <v>141</v>
      </c>
      <c r="C45" s="3" t="s">
        <v>117</v>
      </c>
    </row>
    <row r="46" customFormat="false" ht="45" hidden="false" customHeight="true" outlineLevel="0" collapsed="false">
      <c r="A46" s="15" t="s">
        <v>387</v>
      </c>
      <c r="B46" s="11" t="s">
        <v>388</v>
      </c>
      <c r="C46" s="11" t="s">
        <v>389</v>
      </c>
    </row>
    <row r="47" customFormat="false" ht="45" hidden="false" customHeight="true" outlineLevel="0" collapsed="false">
      <c r="A47" s="15" t="s">
        <v>390</v>
      </c>
      <c r="B47" s="11" t="s">
        <v>391</v>
      </c>
      <c r="C47" s="11" t="s">
        <v>392</v>
      </c>
    </row>
    <row r="48" customFormat="false" ht="45" hidden="false" customHeight="true" outlineLevel="0" collapsed="false">
      <c r="A48" s="15" t="s">
        <v>393</v>
      </c>
      <c r="B48" s="11" t="s">
        <v>394</v>
      </c>
      <c r="C48" s="11" t="s">
        <v>395</v>
      </c>
    </row>
    <row r="49" customFormat="false" ht="45" hidden="false" customHeight="true" outlineLevel="0" collapsed="false">
      <c r="A49" s="15" t="s">
        <v>396</v>
      </c>
      <c r="B49" s="11" t="s">
        <v>397</v>
      </c>
      <c r="C49" s="11" t="s">
        <v>398</v>
      </c>
    </row>
    <row r="50" customFormat="false" ht="45" hidden="false" customHeight="true" outlineLevel="0" collapsed="false">
      <c r="A50" s="15" t="s">
        <v>399</v>
      </c>
      <c r="B50" s="11" t="s">
        <v>400</v>
      </c>
      <c r="C50" s="11" t="s">
        <v>401</v>
      </c>
    </row>
    <row r="52" customFormat="false" ht="15" hidden="false" customHeight="true" outlineLevel="0" collapsed="false">
      <c r="A52" s="12" t="s">
        <v>402</v>
      </c>
      <c r="B52" s="12"/>
      <c r="C52" s="12"/>
      <c r="D52" s="12"/>
      <c r="E52" s="12"/>
      <c r="F52" s="12"/>
      <c r="G52" s="12"/>
      <c r="H52" s="12"/>
    </row>
    <row r="53" customFormat="false" ht="15" hidden="false" customHeight="false" outlineLevel="0" collapsed="false">
      <c r="A53" s="3" t="s">
        <v>321</v>
      </c>
      <c r="B53" s="3" t="s">
        <v>322</v>
      </c>
      <c r="C53" s="3" t="s">
        <v>323</v>
      </c>
      <c r="D53" s="3" t="s">
        <v>194</v>
      </c>
      <c r="E53" s="3" t="s">
        <v>324</v>
      </c>
      <c r="F53" s="3" t="s">
        <v>403</v>
      </c>
      <c r="G53" s="3" t="s">
        <v>326</v>
      </c>
      <c r="H53" s="3" t="s">
        <v>404</v>
      </c>
    </row>
    <row r="54" customFormat="false" ht="54.75" hidden="false" customHeight="true" outlineLevel="0" collapsed="false">
      <c r="A54" s="15" t="s">
        <v>405</v>
      </c>
      <c r="B54" s="11" t="s">
        <v>406</v>
      </c>
      <c r="C54" s="5" t="s">
        <v>407</v>
      </c>
      <c r="D54" s="5" t="s">
        <v>408</v>
      </c>
      <c r="E54" s="11" t="s">
        <v>409</v>
      </c>
      <c r="F54" s="11" t="s">
        <v>410</v>
      </c>
      <c r="G54" s="5" t="s">
        <v>411</v>
      </c>
      <c r="H54" s="11" t="s">
        <v>412</v>
      </c>
    </row>
    <row r="55" customFormat="false" ht="54.75" hidden="false" customHeight="true" outlineLevel="0" collapsed="false">
      <c r="A55" s="11"/>
      <c r="B55" s="11"/>
      <c r="C55" s="5"/>
      <c r="D55" s="5"/>
      <c r="E55" s="11" t="s">
        <v>413</v>
      </c>
      <c r="F55" s="11" t="s">
        <v>414</v>
      </c>
      <c r="G55" s="5" t="s">
        <v>415</v>
      </c>
      <c r="H55" s="11" t="s">
        <v>412</v>
      </c>
    </row>
    <row r="56" customFormat="false" ht="54.75" hidden="false" customHeight="true" outlineLevel="0" collapsed="false">
      <c r="A56" s="15" t="s">
        <v>416</v>
      </c>
      <c r="B56" s="11" t="s">
        <v>417</v>
      </c>
      <c r="C56" s="5" t="s">
        <v>418</v>
      </c>
      <c r="D56" s="5" t="s">
        <v>419</v>
      </c>
      <c r="E56" s="11" t="s">
        <v>420</v>
      </c>
      <c r="F56" s="11" t="s">
        <v>421</v>
      </c>
      <c r="G56" s="5" t="s">
        <v>415</v>
      </c>
      <c r="H56" s="11" t="s">
        <v>422</v>
      </c>
    </row>
    <row r="58" customFormat="false" ht="15" hidden="false" customHeight="true" outlineLevel="0" collapsed="false">
      <c r="A58" s="12" t="s">
        <v>423</v>
      </c>
      <c r="B58" s="12"/>
      <c r="C58" s="12"/>
      <c r="D58" s="12"/>
      <c r="E58" s="12"/>
      <c r="F58" s="12"/>
      <c r="G58" s="12"/>
      <c r="H58" s="12"/>
    </row>
    <row r="59" customFormat="false" ht="35.05" hidden="false" customHeight="false" outlineLevel="0" collapsed="false">
      <c r="A59" s="3" t="s">
        <v>424</v>
      </c>
      <c r="B59" s="3" t="s">
        <v>425</v>
      </c>
      <c r="C59" s="3" t="s">
        <v>426</v>
      </c>
      <c r="D59" s="3" t="s">
        <v>427</v>
      </c>
      <c r="E59" s="3" t="s">
        <v>428</v>
      </c>
    </row>
    <row r="60" customFormat="false" ht="54.75" hidden="false" customHeight="true" outlineLevel="0" collapsed="false">
      <c r="A60" s="11" t="s">
        <v>429</v>
      </c>
      <c r="B60" s="24" t="s">
        <v>430</v>
      </c>
      <c r="C60" s="25" t="s">
        <v>431</v>
      </c>
      <c r="D60" s="11" t="s">
        <v>432</v>
      </c>
      <c r="E60" s="11" t="s">
        <v>433</v>
      </c>
    </row>
    <row r="61" customFormat="false" ht="54.75" hidden="false" customHeight="true" outlineLevel="0" collapsed="false">
      <c r="A61" s="11" t="s">
        <v>434</v>
      </c>
      <c r="B61" s="24" t="s">
        <v>435</v>
      </c>
      <c r="C61" s="25" t="s">
        <v>436</v>
      </c>
      <c r="D61" s="11" t="s">
        <v>432</v>
      </c>
      <c r="E61" s="11" t="s">
        <v>433</v>
      </c>
    </row>
    <row r="62" customFormat="false" ht="54.75" hidden="false" customHeight="true" outlineLevel="0" collapsed="false">
      <c r="A62" s="11" t="s">
        <v>437</v>
      </c>
      <c r="B62" s="24" t="s">
        <v>438</v>
      </c>
      <c r="C62" s="25" t="s">
        <v>439</v>
      </c>
      <c r="D62" s="11" t="s">
        <v>432</v>
      </c>
      <c r="E62" s="11" t="s">
        <v>433</v>
      </c>
    </row>
    <row r="63" customFormat="false" ht="54.75" hidden="false" customHeight="true" outlineLevel="0" collapsed="false">
      <c r="A63" s="11" t="s">
        <v>440</v>
      </c>
      <c r="B63" s="24" t="s">
        <v>441</v>
      </c>
      <c r="C63" s="25" t="s">
        <v>442</v>
      </c>
      <c r="D63" s="11" t="s">
        <v>443</v>
      </c>
      <c r="E63" s="11" t="s">
        <v>444</v>
      </c>
    </row>
    <row r="65" customFormat="false" ht="15" hidden="false" customHeight="true" outlineLevel="0" collapsed="false">
      <c r="A65" s="12" t="s">
        <v>445</v>
      </c>
      <c r="B65" s="12"/>
      <c r="C65" s="12"/>
      <c r="D65" s="12"/>
      <c r="E65" s="12"/>
      <c r="F65" s="12"/>
      <c r="G65" s="12"/>
      <c r="H65" s="12"/>
    </row>
    <row r="66" customFormat="false" ht="15" hidden="false" customHeight="false" outlineLevel="0" collapsed="false">
      <c r="A66" s="3" t="s">
        <v>446</v>
      </c>
      <c r="B66" s="3" t="s">
        <v>447</v>
      </c>
      <c r="C66" s="3" t="s">
        <v>194</v>
      </c>
      <c r="D66" s="3" t="s">
        <v>278</v>
      </c>
      <c r="E66" s="3" t="s">
        <v>448</v>
      </c>
    </row>
    <row r="67" customFormat="false" ht="23.85" hidden="false" customHeight="false" outlineLevel="0" collapsed="false">
      <c r="A67" s="6" t="s">
        <v>449</v>
      </c>
      <c r="B67" s="5" t="s">
        <v>450</v>
      </c>
      <c r="C67" s="5" t="s">
        <v>451</v>
      </c>
      <c r="D67" s="5" t="s">
        <v>452</v>
      </c>
      <c r="E67" s="5" t="s">
        <v>453</v>
      </c>
    </row>
    <row r="68" customFormat="false" ht="35.05" hidden="false" customHeight="false" outlineLevel="0" collapsed="false">
      <c r="A68" s="6" t="s">
        <v>454</v>
      </c>
      <c r="B68" s="5" t="s">
        <v>455</v>
      </c>
      <c r="C68" s="5" t="s">
        <v>456</v>
      </c>
      <c r="D68" s="5" t="s">
        <v>452</v>
      </c>
      <c r="E68" s="5" t="s">
        <v>457</v>
      </c>
    </row>
    <row r="69" customFormat="false" ht="23.85" hidden="false" customHeight="false" outlineLevel="0" collapsed="false">
      <c r="A69" s="6" t="s">
        <v>458</v>
      </c>
      <c r="B69" s="5" t="s">
        <v>459</v>
      </c>
      <c r="C69" s="5" t="s">
        <v>460</v>
      </c>
      <c r="D69" s="5" t="s">
        <v>461</v>
      </c>
      <c r="E69" s="5" t="s">
        <v>462</v>
      </c>
    </row>
    <row r="70" customFormat="false" ht="23.85" hidden="false" customHeight="false" outlineLevel="0" collapsed="false">
      <c r="A70" s="6" t="s">
        <v>463</v>
      </c>
      <c r="B70" s="5" t="s">
        <v>464</v>
      </c>
      <c r="C70" s="5" t="s">
        <v>465</v>
      </c>
      <c r="D70" s="5" t="s">
        <v>466</v>
      </c>
      <c r="E70" s="5" t="s">
        <v>467</v>
      </c>
    </row>
    <row r="71" customFormat="false" ht="15" hidden="false" customHeight="false" outlineLevel="0" collapsed="false">
      <c r="A71" s="31" t="s">
        <v>468</v>
      </c>
      <c r="B71" s="31" t="s">
        <v>469</v>
      </c>
      <c r="C71" s="31" t="s">
        <v>470</v>
      </c>
      <c r="D71" s="31" t="s">
        <v>471</v>
      </c>
      <c r="E71" s="31" t="s">
        <v>472</v>
      </c>
    </row>
  </sheetData>
  <mergeCells count="10">
    <mergeCell ref="A1:H1"/>
    <mergeCell ref="A3:H3"/>
    <mergeCell ref="A9:H9"/>
    <mergeCell ref="A18:H18"/>
    <mergeCell ref="A26:H26"/>
    <mergeCell ref="A27:H27"/>
    <mergeCell ref="A44:H44"/>
    <mergeCell ref="A52:H52"/>
    <mergeCell ref="A58:H58"/>
    <mergeCell ref="A65:H6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C2626"/>
    <pageSetUpPr fitToPage="false"/>
  </sheetPr>
  <dimension ref="A1:E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2"/>
    <col collapsed="false" customWidth="true" hidden="false" outlineLevel="0" max="2" min="2" style="1" width="35"/>
    <col collapsed="false" customWidth="true" hidden="false" outlineLevel="0" max="3" min="3" style="1" width="50"/>
    <col collapsed="false" customWidth="true" hidden="false" outlineLevel="0" max="4" min="4" style="1" width="40"/>
    <col collapsed="false" customWidth="true" hidden="false" outlineLevel="0" max="5" min="5" style="1" width="22"/>
  </cols>
  <sheetData>
    <row r="1" customFormat="false" ht="19.5" hidden="false" customHeight="true" outlineLevel="0" collapsed="false">
      <c r="A1" s="2" t="s">
        <v>473</v>
      </c>
      <c r="B1" s="2"/>
      <c r="C1" s="2"/>
      <c r="D1" s="2"/>
      <c r="E1" s="2"/>
    </row>
    <row r="3" customFormat="false" ht="15" hidden="false" customHeight="true" outlineLevel="0" collapsed="false">
      <c r="A3" s="12" t="s">
        <v>474</v>
      </c>
      <c r="B3" s="12"/>
      <c r="C3" s="12"/>
      <c r="D3" s="12"/>
      <c r="E3" s="12"/>
    </row>
    <row r="4" customFormat="false" ht="15" hidden="false" customHeight="true" outlineLevel="0" collapsed="false">
      <c r="A4" s="3" t="s">
        <v>475</v>
      </c>
      <c r="B4" s="3" t="s">
        <v>476</v>
      </c>
      <c r="C4" s="3" t="s">
        <v>477</v>
      </c>
      <c r="D4" s="3" t="s">
        <v>478</v>
      </c>
      <c r="E4" s="3" t="s">
        <v>141</v>
      </c>
    </row>
    <row r="5" customFormat="false" ht="15" hidden="false" customHeight="true" outlineLevel="0" collapsed="false">
      <c r="A5" s="15" t="s">
        <v>479</v>
      </c>
      <c r="B5" s="24" t="s">
        <v>480</v>
      </c>
      <c r="C5" s="14" t="s">
        <v>481</v>
      </c>
      <c r="D5" s="19" t="s">
        <v>482</v>
      </c>
      <c r="E5" s="11" t="s">
        <v>483</v>
      </c>
    </row>
    <row r="6" customFormat="false" ht="23.25" hidden="false" customHeight="true" outlineLevel="0" collapsed="false">
      <c r="A6" s="15" t="s">
        <v>484</v>
      </c>
      <c r="B6" s="24" t="s">
        <v>485</v>
      </c>
      <c r="C6" s="14" t="s">
        <v>486</v>
      </c>
      <c r="D6" s="19" t="s">
        <v>487</v>
      </c>
      <c r="E6" s="11" t="s">
        <v>488</v>
      </c>
    </row>
    <row r="7" customFormat="false" ht="23.25" hidden="false" customHeight="true" outlineLevel="0" collapsed="false">
      <c r="A7" s="15" t="s">
        <v>489</v>
      </c>
      <c r="B7" s="24" t="s">
        <v>490</v>
      </c>
      <c r="C7" s="14" t="s">
        <v>491</v>
      </c>
      <c r="D7" s="19" t="s">
        <v>492</v>
      </c>
      <c r="E7" s="11" t="s">
        <v>493</v>
      </c>
    </row>
    <row r="8" customFormat="false" ht="23.25" hidden="false" customHeight="true" outlineLevel="0" collapsed="false">
      <c r="A8" s="15" t="s">
        <v>494</v>
      </c>
      <c r="B8" s="24" t="s">
        <v>495</v>
      </c>
      <c r="C8" s="14" t="s">
        <v>496</v>
      </c>
      <c r="D8" s="19" t="s">
        <v>497</v>
      </c>
      <c r="E8" s="11" t="s">
        <v>498</v>
      </c>
    </row>
    <row r="9" customFormat="false" ht="15" hidden="false" customHeight="true" outlineLevel="0" collapsed="false">
      <c r="A9" s="15" t="s">
        <v>499</v>
      </c>
      <c r="B9" s="24" t="s">
        <v>500</v>
      </c>
      <c r="C9" s="14" t="s">
        <v>501</v>
      </c>
      <c r="D9" s="19" t="s">
        <v>502</v>
      </c>
      <c r="E9" s="11" t="s">
        <v>503</v>
      </c>
    </row>
    <row r="11" customFormat="false" ht="15" hidden="false" customHeight="true" outlineLevel="0" collapsed="false">
      <c r="A11" s="12" t="s">
        <v>504</v>
      </c>
      <c r="B11" s="12"/>
      <c r="C11" s="12"/>
      <c r="D11" s="12"/>
      <c r="E11" s="12"/>
    </row>
    <row r="12" customFormat="false" ht="15" hidden="false" customHeight="true" outlineLevel="0" collapsed="false">
      <c r="A12" s="3" t="s">
        <v>505</v>
      </c>
      <c r="B12" s="3" t="s">
        <v>506</v>
      </c>
      <c r="C12" s="3" t="s">
        <v>141</v>
      </c>
      <c r="D12" s="3" t="s">
        <v>507</v>
      </c>
      <c r="E12" s="3" t="s">
        <v>508</v>
      </c>
    </row>
    <row r="13" customFormat="false" ht="34.5" hidden="false" customHeight="true" outlineLevel="0" collapsed="false">
      <c r="A13" s="20" t="s">
        <v>509</v>
      </c>
      <c r="B13" s="24" t="s">
        <v>510</v>
      </c>
      <c r="C13" s="24" t="s">
        <v>511</v>
      </c>
      <c r="D13" s="24" t="s">
        <v>512</v>
      </c>
      <c r="E13" s="24" t="s">
        <v>513</v>
      </c>
    </row>
    <row r="14" customFormat="false" ht="34.5" hidden="false" customHeight="true" outlineLevel="0" collapsed="false">
      <c r="A14" s="20" t="s">
        <v>514</v>
      </c>
      <c r="B14" s="24" t="s">
        <v>515</v>
      </c>
      <c r="C14" s="24" t="s">
        <v>516</v>
      </c>
      <c r="D14" s="24" t="s">
        <v>517</v>
      </c>
      <c r="E14" s="24" t="s">
        <v>513</v>
      </c>
    </row>
    <row r="16" customFormat="false" ht="15" hidden="false" customHeight="true" outlineLevel="0" collapsed="false">
      <c r="A16" s="12" t="s">
        <v>518</v>
      </c>
      <c r="B16" s="12"/>
      <c r="C16" s="12"/>
      <c r="D16" s="12"/>
      <c r="E16" s="12"/>
    </row>
    <row r="17" customFormat="false" ht="15" hidden="false" customHeight="true" outlineLevel="0" collapsed="false">
      <c r="A17" s="3" t="s">
        <v>505</v>
      </c>
      <c r="B17" s="3" t="s">
        <v>506</v>
      </c>
      <c r="C17" s="3" t="s">
        <v>141</v>
      </c>
      <c r="D17" s="3" t="s">
        <v>507</v>
      </c>
      <c r="E17" s="3" t="s">
        <v>508</v>
      </c>
    </row>
    <row r="18" customFormat="false" ht="34.5" hidden="false" customHeight="true" outlineLevel="0" collapsed="false">
      <c r="A18" s="18" t="s">
        <v>519</v>
      </c>
      <c r="B18" s="19" t="s">
        <v>520</v>
      </c>
      <c r="C18" s="19" t="s">
        <v>521</v>
      </c>
      <c r="D18" s="19" t="s">
        <v>522</v>
      </c>
      <c r="E18" s="19" t="s">
        <v>513</v>
      </c>
    </row>
    <row r="19" customFormat="false" ht="23.25" hidden="false" customHeight="true" outlineLevel="0" collapsed="false">
      <c r="A19" s="18" t="s">
        <v>523</v>
      </c>
      <c r="B19" s="19" t="s">
        <v>524</v>
      </c>
      <c r="C19" s="19" t="s">
        <v>525</v>
      </c>
      <c r="D19" s="19" t="s">
        <v>526</v>
      </c>
      <c r="E19" s="19" t="s">
        <v>513</v>
      </c>
    </row>
    <row r="20" customFormat="false" ht="23.25" hidden="false" customHeight="true" outlineLevel="0" collapsed="false">
      <c r="A20" s="18" t="s">
        <v>527</v>
      </c>
      <c r="B20" s="19" t="s">
        <v>528</v>
      </c>
      <c r="C20" s="19" t="s">
        <v>529</v>
      </c>
      <c r="D20" s="19" t="s">
        <v>530</v>
      </c>
      <c r="E20" s="19" t="s">
        <v>531</v>
      </c>
    </row>
    <row r="22" customFormat="false" ht="15" hidden="false" customHeight="true" outlineLevel="0" collapsed="false">
      <c r="A22" s="12" t="s">
        <v>532</v>
      </c>
      <c r="B22" s="12"/>
      <c r="C22" s="12"/>
      <c r="D22" s="12"/>
      <c r="E22" s="12"/>
    </row>
    <row r="23" customFormat="false" ht="15" hidden="false" customHeight="true" outlineLevel="0" collapsed="false">
      <c r="A23" s="3" t="s">
        <v>505</v>
      </c>
      <c r="B23" s="3" t="s">
        <v>506</v>
      </c>
      <c r="C23" s="3" t="s">
        <v>141</v>
      </c>
      <c r="D23" s="3" t="s">
        <v>507</v>
      </c>
      <c r="E23" s="3" t="s">
        <v>508</v>
      </c>
    </row>
    <row r="24" customFormat="false" ht="34.5" hidden="false" customHeight="true" outlineLevel="0" collapsed="false">
      <c r="A24" s="13" t="s">
        <v>533</v>
      </c>
      <c r="B24" s="14" t="s">
        <v>534</v>
      </c>
      <c r="C24" s="14" t="s">
        <v>535</v>
      </c>
      <c r="D24" s="14" t="s">
        <v>536</v>
      </c>
      <c r="E24" s="14" t="s">
        <v>537</v>
      </c>
    </row>
    <row r="25" customFormat="false" ht="23.25" hidden="false" customHeight="true" outlineLevel="0" collapsed="false">
      <c r="A25" s="13" t="s">
        <v>538</v>
      </c>
      <c r="B25" s="14" t="s">
        <v>539</v>
      </c>
      <c r="C25" s="14" t="s">
        <v>540</v>
      </c>
      <c r="D25" s="14" t="s">
        <v>541</v>
      </c>
      <c r="E25" s="14" t="s">
        <v>537</v>
      </c>
    </row>
    <row r="27" customFormat="false" ht="15" hidden="false" customHeight="true" outlineLevel="0" collapsed="false">
      <c r="A27" s="12" t="s">
        <v>542</v>
      </c>
      <c r="B27" s="12"/>
      <c r="C27" s="12"/>
      <c r="D27" s="12"/>
      <c r="E27" s="12"/>
    </row>
    <row r="28" customFormat="false" ht="15" hidden="false" customHeight="true" outlineLevel="0" collapsed="false">
      <c r="A28" s="3" t="s">
        <v>543</v>
      </c>
      <c r="B28" s="3" t="s">
        <v>544</v>
      </c>
      <c r="C28" s="3" t="s">
        <v>545</v>
      </c>
      <c r="D28" s="3" t="s">
        <v>546</v>
      </c>
    </row>
    <row r="29" customFormat="false" ht="15" hidden="false" customHeight="true" outlineLevel="0" collapsed="false">
      <c r="A29" s="15" t="s">
        <v>547</v>
      </c>
      <c r="B29" s="11" t="s">
        <v>548</v>
      </c>
      <c r="C29" s="11" t="s">
        <v>549</v>
      </c>
      <c r="D29" s="11" t="s">
        <v>550</v>
      </c>
    </row>
    <row r="30" customFormat="false" ht="15" hidden="false" customHeight="true" outlineLevel="0" collapsed="false">
      <c r="A30" s="15" t="s">
        <v>551</v>
      </c>
      <c r="B30" s="11" t="s">
        <v>552</v>
      </c>
      <c r="C30" s="11" t="s">
        <v>553</v>
      </c>
      <c r="D30" s="11" t="s">
        <v>554</v>
      </c>
    </row>
    <row r="31" customFormat="false" ht="15" hidden="false" customHeight="true" outlineLevel="0" collapsed="false">
      <c r="A31" s="15" t="s">
        <v>555</v>
      </c>
      <c r="B31" s="11" t="s">
        <v>556</v>
      </c>
      <c r="C31" s="11" t="s">
        <v>557</v>
      </c>
      <c r="D31" s="11" t="s">
        <v>558</v>
      </c>
    </row>
    <row r="32" customFormat="false" ht="15" hidden="false" customHeight="true" outlineLevel="0" collapsed="false">
      <c r="A32" s="15" t="s">
        <v>559</v>
      </c>
      <c r="B32" s="11" t="s">
        <v>560</v>
      </c>
      <c r="C32" s="11" t="s">
        <v>561</v>
      </c>
      <c r="D32" s="11" t="s">
        <v>562</v>
      </c>
    </row>
    <row r="33" customFormat="false" ht="15" hidden="false" customHeight="true" outlineLevel="0" collapsed="false">
      <c r="A33" s="15" t="s">
        <v>563</v>
      </c>
      <c r="B33" s="11" t="s">
        <v>564</v>
      </c>
      <c r="C33" s="11" t="s">
        <v>549</v>
      </c>
      <c r="D33" s="11" t="s">
        <v>565</v>
      </c>
    </row>
    <row r="35" customFormat="false" ht="15" hidden="false" customHeight="true" outlineLevel="0" collapsed="false">
      <c r="A35" s="12" t="s">
        <v>566</v>
      </c>
      <c r="B35" s="12"/>
      <c r="C35" s="12"/>
      <c r="D35" s="12"/>
      <c r="E35" s="12"/>
    </row>
    <row r="36" customFormat="false" ht="15" hidden="false" customHeight="true" outlineLevel="0" collapsed="false">
      <c r="A36" s="3" t="s">
        <v>567</v>
      </c>
      <c r="B36" s="3" t="s">
        <v>568</v>
      </c>
      <c r="C36" s="3" t="s">
        <v>569</v>
      </c>
      <c r="D36" s="3" t="s">
        <v>570</v>
      </c>
    </row>
    <row r="37" customFormat="false" ht="79.5" hidden="false" customHeight="true" outlineLevel="0" collapsed="false">
      <c r="A37" s="32" t="s">
        <v>571</v>
      </c>
      <c r="B37" s="33" t="s">
        <v>572</v>
      </c>
      <c r="C37" s="33" t="s">
        <v>573</v>
      </c>
      <c r="D37" s="33" t="s">
        <v>574</v>
      </c>
    </row>
    <row r="38" customFormat="false" ht="79.5" hidden="false" customHeight="true" outlineLevel="0" collapsed="false">
      <c r="A38" s="32" t="s">
        <v>575</v>
      </c>
      <c r="B38" s="33" t="s">
        <v>576</v>
      </c>
      <c r="C38" s="33" t="s">
        <v>577</v>
      </c>
      <c r="D38" s="33" t="s">
        <v>578</v>
      </c>
    </row>
    <row r="39" customFormat="false" ht="79.5" hidden="false" customHeight="true" outlineLevel="0" collapsed="false">
      <c r="A39" s="32" t="s">
        <v>579</v>
      </c>
      <c r="B39" s="33" t="s">
        <v>580</v>
      </c>
      <c r="C39" s="33" t="s">
        <v>581</v>
      </c>
      <c r="D39" s="33" t="s">
        <v>582</v>
      </c>
    </row>
    <row r="40" customFormat="false" ht="79.5" hidden="false" customHeight="true" outlineLevel="0" collapsed="false">
      <c r="A40" s="32" t="s">
        <v>583</v>
      </c>
      <c r="B40" s="33" t="s">
        <v>584</v>
      </c>
      <c r="C40" s="33" t="s">
        <v>585</v>
      </c>
      <c r="D40" s="33" t="s">
        <v>586</v>
      </c>
    </row>
    <row r="42" customFormat="false" ht="15" hidden="false" customHeight="true" outlineLevel="0" collapsed="false">
      <c r="A42" s="12" t="s">
        <v>587</v>
      </c>
      <c r="B42" s="12"/>
      <c r="C42" s="12"/>
      <c r="D42" s="12"/>
      <c r="E42" s="12"/>
    </row>
    <row r="43" customFormat="false" ht="15" hidden="false" customHeight="false" outlineLevel="0" collapsed="false">
      <c r="A43" s="3" t="s">
        <v>505</v>
      </c>
      <c r="B43" s="3" t="s">
        <v>506</v>
      </c>
      <c r="C43" s="3" t="s">
        <v>141</v>
      </c>
      <c r="D43" s="3" t="s">
        <v>507</v>
      </c>
      <c r="E43" s="3" t="s">
        <v>508</v>
      </c>
    </row>
    <row r="44" customFormat="false" ht="64.5" hidden="false" customHeight="true" outlineLevel="0" collapsed="false">
      <c r="A44" s="25" t="s">
        <v>509</v>
      </c>
      <c r="B44" s="25" t="s">
        <v>588</v>
      </c>
      <c r="C44" s="25" t="s">
        <v>589</v>
      </c>
      <c r="D44" s="25" t="s">
        <v>590</v>
      </c>
      <c r="E44" s="25" t="s">
        <v>513</v>
      </c>
    </row>
    <row r="45" customFormat="false" ht="64.5" hidden="false" customHeight="true" outlineLevel="0" collapsed="false">
      <c r="A45" s="25" t="s">
        <v>591</v>
      </c>
      <c r="B45" s="25" t="s">
        <v>592</v>
      </c>
      <c r="C45" s="25" t="s">
        <v>593</v>
      </c>
      <c r="D45" s="25" t="s">
        <v>594</v>
      </c>
      <c r="E45" s="25" t="s">
        <v>595</v>
      </c>
    </row>
    <row r="46" customFormat="false" ht="64.5" hidden="false" customHeight="true" outlineLevel="0" collapsed="false">
      <c r="A46" s="25" t="s">
        <v>519</v>
      </c>
      <c r="B46" s="25" t="s">
        <v>596</v>
      </c>
      <c r="C46" s="25" t="s">
        <v>597</v>
      </c>
      <c r="D46" s="25" t="s">
        <v>598</v>
      </c>
      <c r="E46" s="25" t="s">
        <v>513</v>
      </c>
    </row>
    <row r="47" customFormat="false" ht="64.5" hidden="false" customHeight="true" outlineLevel="0" collapsed="false">
      <c r="A47" s="25" t="s">
        <v>599</v>
      </c>
      <c r="B47" s="25" t="s">
        <v>600</v>
      </c>
      <c r="C47" s="25" t="s">
        <v>601</v>
      </c>
      <c r="D47" s="25" t="s">
        <v>602</v>
      </c>
      <c r="E47" s="25" t="s">
        <v>537</v>
      </c>
    </row>
  </sheetData>
  <mergeCells count="8">
    <mergeCell ref="A1:E1"/>
    <mergeCell ref="A3:E3"/>
    <mergeCell ref="A11:E11"/>
    <mergeCell ref="A16:E16"/>
    <mergeCell ref="A22:E22"/>
    <mergeCell ref="A27:E27"/>
    <mergeCell ref="A35:E35"/>
    <mergeCell ref="A42:E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C3AED"/>
    <pageSetUpPr fitToPage="false"/>
  </sheetPr>
  <dimension ref="A1:G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8"/>
    <col collapsed="false" customWidth="true" hidden="false" outlineLevel="0" max="3" min="2" style="1" width="55"/>
  </cols>
  <sheetData>
    <row r="1" customFormat="false" ht="19.5" hidden="false" customHeight="true" outlineLevel="0" collapsed="false">
      <c r="A1" s="2" t="s">
        <v>603</v>
      </c>
      <c r="B1" s="2"/>
      <c r="C1" s="2"/>
      <c r="D1" s="2"/>
      <c r="E1" s="2"/>
      <c r="F1" s="2"/>
      <c r="G1" s="2"/>
    </row>
    <row r="3" customFormat="false" ht="15" hidden="false" customHeight="true" outlineLevel="0" collapsed="false">
      <c r="A3" s="10" t="s">
        <v>604</v>
      </c>
      <c r="B3" s="10"/>
      <c r="C3" s="10"/>
      <c r="D3" s="10"/>
      <c r="E3" s="10"/>
      <c r="F3" s="10"/>
      <c r="G3" s="10"/>
    </row>
    <row r="4" customFormat="false" ht="15" hidden="false" customHeight="true" outlineLevel="0" collapsed="false">
      <c r="A4" s="3" t="s">
        <v>605</v>
      </c>
      <c r="B4" s="3" t="s">
        <v>606</v>
      </c>
      <c r="C4" s="3" t="s">
        <v>607</v>
      </c>
    </row>
    <row r="5" customFormat="false" ht="120" hidden="false" customHeight="true" outlineLevel="0" collapsed="false">
      <c r="A5" s="15" t="s">
        <v>608</v>
      </c>
      <c r="B5" s="11" t="s">
        <v>609</v>
      </c>
      <c r="C5" s="11" t="s">
        <v>610</v>
      </c>
    </row>
    <row r="6" customFormat="false" ht="23.25" hidden="false" customHeight="true" outlineLevel="0" collapsed="false">
      <c r="A6" s="15" t="s">
        <v>611</v>
      </c>
      <c r="B6" s="11" t="s">
        <v>612</v>
      </c>
      <c r="C6" s="11" t="s">
        <v>613</v>
      </c>
    </row>
    <row r="7" customFormat="false" ht="23.25" hidden="false" customHeight="true" outlineLevel="0" collapsed="false">
      <c r="A7" s="15" t="s">
        <v>614</v>
      </c>
      <c r="B7" s="11" t="s">
        <v>615</v>
      </c>
      <c r="C7" s="11" t="s">
        <v>616</v>
      </c>
    </row>
    <row r="8" customFormat="false" ht="15" hidden="false" customHeight="true" outlineLevel="0" collapsed="false">
      <c r="A8" s="15" t="s">
        <v>617</v>
      </c>
      <c r="B8" s="11" t="s">
        <v>618</v>
      </c>
      <c r="C8" s="11" t="s">
        <v>618</v>
      </c>
    </row>
    <row r="10" customFormat="false" ht="15" hidden="false" customHeight="true" outlineLevel="0" collapsed="false">
      <c r="A10" s="10" t="s">
        <v>619</v>
      </c>
      <c r="B10" s="10"/>
      <c r="C10" s="10"/>
      <c r="D10" s="10"/>
      <c r="E10" s="10"/>
      <c r="F10" s="10"/>
      <c r="G10" s="10"/>
    </row>
    <row r="11" customFormat="false" ht="15" hidden="false" customHeight="true" outlineLevel="0" collapsed="false">
      <c r="A11" s="3" t="s">
        <v>605</v>
      </c>
      <c r="B11" s="3" t="s">
        <v>606</v>
      </c>
      <c r="C11" s="3" t="s">
        <v>607</v>
      </c>
    </row>
    <row r="12" customFormat="false" ht="120" hidden="false" customHeight="true" outlineLevel="0" collapsed="false">
      <c r="A12" s="15" t="s">
        <v>608</v>
      </c>
      <c r="B12" s="11" t="s">
        <v>620</v>
      </c>
      <c r="C12" s="11" t="s">
        <v>621</v>
      </c>
    </row>
    <row r="13" customFormat="false" ht="23.25" hidden="false" customHeight="true" outlineLevel="0" collapsed="false">
      <c r="A13" s="15" t="s">
        <v>611</v>
      </c>
      <c r="B13" s="11" t="s">
        <v>622</v>
      </c>
      <c r="C13" s="11" t="s">
        <v>623</v>
      </c>
    </row>
    <row r="14" customFormat="false" ht="23.25" hidden="false" customHeight="true" outlineLevel="0" collapsed="false">
      <c r="A14" s="15" t="s">
        <v>614</v>
      </c>
      <c r="B14" s="11" t="s">
        <v>624</v>
      </c>
      <c r="C14" s="11" t="s">
        <v>625</v>
      </c>
    </row>
    <row r="15" customFormat="false" ht="15" hidden="false" customHeight="true" outlineLevel="0" collapsed="false">
      <c r="A15" s="15" t="s">
        <v>617</v>
      </c>
      <c r="B15" s="11" t="s">
        <v>618</v>
      </c>
      <c r="C15" s="11" t="s">
        <v>618</v>
      </c>
    </row>
    <row r="17" customFormat="false" ht="15" hidden="false" customHeight="true" outlineLevel="0" collapsed="false">
      <c r="A17" s="10" t="s">
        <v>626</v>
      </c>
      <c r="B17" s="10"/>
      <c r="C17" s="10"/>
      <c r="D17" s="10"/>
      <c r="E17" s="10"/>
      <c r="F17" s="10"/>
      <c r="G17" s="10"/>
    </row>
    <row r="18" customFormat="false" ht="15" hidden="false" customHeight="true" outlineLevel="0" collapsed="false">
      <c r="A18" s="3" t="s">
        <v>605</v>
      </c>
      <c r="B18" s="3" t="s">
        <v>606</v>
      </c>
      <c r="C18" s="3" t="s">
        <v>607</v>
      </c>
    </row>
    <row r="19" customFormat="false" ht="120" hidden="false" customHeight="true" outlineLevel="0" collapsed="false">
      <c r="A19" s="15" t="s">
        <v>608</v>
      </c>
      <c r="B19" s="11" t="s">
        <v>627</v>
      </c>
      <c r="C19" s="11" t="s">
        <v>628</v>
      </c>
    </row>
    <row r="20" customFormat="false" ht="23.25" hidden="false" customHeight="true" outlineLevel="0" collapsed="false">
      <c r="A20" s="15" t="s">
        <v>611</v>
      </c>
      <c r="B20" s="11" t="s">
        <v>629</v>
      </c>
      <c r="C20" s="11" t="s">
        <v>630</v>
      </c>
    </row>
    <row r="21" customFormat="false" ht="15" hidden="false" customHeight="true" outlineLevel="0" collapsed="false">
      <c r="A21" s="15" t="s">
        <v>614</v>
      </c>
      <c r="B21" s="11" t="s">
        <v>631</v>
      </c>
      <c r="C21" s="11" t="s">
        <v>632</v>
      </c>
    </row>
    <row r="22" customFormat="false" ht="15" hidden="false" customHeight="true" outlineLevel="0" collapsed="false">
      <c r="A22" s="15" t="s">
        <v>617</v>
      </c>
      <c r="B22" s="11" t="s">
        <v>618</v>
      </c>
      <c r="C22" s="11" t="s">
        <v>618</v>
      </c>
    </row>
    <row r="24" customFormat="false" ht="15" hidden="false" customHeight="true" outlineLevel="0" collapsed="false">
      <c r="A24" s="10" t="s">
        <v>633</v>
      </c>
      <c r="B24" s="10"/>
      <c r="C24" s="10"/>
      <c r="D24" s="10"/>
      <c r="E24" s="10"/>
      <c r="F24" s="10"/>
      <c r="G24" s="10"/>
    </row>
    <row r="25" customFormat="false" ht="15" hidden="false" customHeight="true" outlineLevel="0" collapsed="false">
      <c r="A25" s="3" t="s">
        <v>605</v>
      </c>
      <c r="B25" s="3" t="s">
        <v>606</v>
      </c>
      <c r="C25" s="3" t="s">
        <v>607</v>
      </c>
    </row>
    <row r="26" customFormat="false" ht="120" hidden="false" customHeight="true" outlineLevel="0" collapsed="false">
      <c r="A26" s="15" t="s">
        <v>608</v>
      </c>
      <c r="B26" s="11" t="s">
        <v>634</v>
      </c>
      <c r="C26" s="11" t="s">
        <v>635</v>
      </c>
    </row>
    <row r="27" customFormat="false" ht="23.25" hidden="false" customHeight="true" outlineLevel="0" collapsed="false">
      <c r="A27" s="15" t="s">
        <v>611</v>
      </c>
      <c r="B27" s="11" t="s">
        <v>636</v>
      </c>
      <c r="C27" s="11" t="s">
        <v>637</v>
      </c>
    </row>
    <row r="28" customFormat="false" ht="15" hidden="false" customHeight="true" outlineLevel="0" collapsed="false">
      <c r="A28" s="15" t="s">
        <v>614</v>
      </c>
      <c r="B28" s="11" t="s">
        <v>638</v>
      </c>
      <c r="C28" s="11" t="s">
        <v>639</v>
      </c>
    </row>
    <row r="29" customFormat="false" ht="15" hidden="false" customHeight="true" outlineLevel="0" collapsed="false">
      <c r="A29" s="15" t="s">
        <v>617</v>
      </c>
      <c r="B29" s="11" t="s">
        <v>618</v>
      </c>
      <c r="C29" s="11" t="s">
        <v>618</v>
      </c>
    </row>
    <row r="31" customFormat="false" ht="15" hidden="false" customHeight="true" outlineLevel="0" collapsed="false">
      <c r="A31" s="10" t="s">
        <v>640</v>
      </c>
      <c r="B31" s="10"/>
      <c r="C31" s="10"/>
      <c r="D31" s="10"/>
      <c r="E31" s="10"/>
      <c r="F31" s="10"/>
      <c r="G31" s="10"/>
    </row>
    <row r="32" customFormat="false" ht="15" hidden="false" customHeight="true" outlineLevel="0" collapsed="false">
      <c r="A32" s="3" t="s">
        <v>605</v>
      </c>
      <c r="B32" s="3" t="s">
        <v>606</v>
      </c>
      <c r="C32" s="3" t="s">
        <v>607</v>
      </c>
    </row>
    <row r="33" customFormat="false" ht="120" hidden="false" customHeight="true" outlineLevel="0" collapsed="false">
      <c r="A33" s="15" t="s">
        <v>608</v>
      </c>
      <c r="B33" s="11" t="s">
        <v>641</v>
      </c>
      <c r="C33" s="11" t="s">
        <v>642</v>
      </c>
    </row>
    <row r="34" customFormat="false" ht="23.25" hidden="false" customHeight="true" outlineLevel="0" collapsed="false">
      <c r="A34" s="15" t="s">
        <v>611</v>
      </c>
      <c r="B34" s="11" t="s">
        <v>643</v>
      </c>
      <c r="C34" s="11" t="s">
        <v>644</v>
      </c>
    </row>
    <row r="35" customFormat="false" ht="15" hidden="false" customHeight="true" outlineLevel="0" collapsed="false">
      <c r="A35" s="15" t="s">
        <v>614</v>
      </c>
      <c r="B35" s="11" t="s">
        <v>645</v>
      </c>
      <c r="C35" s="11" t="s">
        <v>646</v>
      </c>
    </row>
    <row r="36" customFormat="false" ht="15" hidden="false" customHeight="true" outlineLevel="0" collapsed="false">
      <c r="A36" s="15" t="s">
        <v>617</v>
      </c>
      <c r="B36" s="11" t="s">
        <v>618</v>
      </c>
      <c r="C36" s="11" t="s">
        <v>618</v>
      </c>
    </row>
    <row r="38" customFormat="false" ht="15" hidden="false" customHeight="true" outlineLevel="0" collapsed="false">
      <c r="A38" s="10" t="s">
        <v>647</v>
      </c>
      <c r="B38" s="10"/>
      <c r="C38" s="10"/>
      <c r="D38" s="10"/>
      <c r="E38" s="10"/>
      <c r="F38" s="10"/>
      <c r="G38" s="10"/>
    </row>
    <row r="39" customFormat="false" ht="15" hidden="false" customHeight="true" outlineLevel="0" collapsed="false">
      <c r="A39" s="3" t="s">
        <v>605</v>
      </c>
      <c r="B39" s="3" t="s">
        <v>606</v>
      </c>
      <c r="C39" s="3" t="s">
        <v>607</v>
      </c>
    </row>
    <row r="40" customFormat="false" ht="120" hidden="false" customHeight="true" outlineLevel="0" collapsed="false">
      <c r="A40" s="15" t="s">
        <v>608</v>
      </c>
      <c r="B40" s="11" t="s">
        <v>648</v>
      </c>
      <c r="C40" s="11" t="s">
        <v>649</v>
      </c>
    </row>
    <row r="41" customFormat="false" ht="23.25" hidden="false" customHeight="true" outlineLevel="0" collapsed="false">
      <c r="A41" s="15" t="s">
        <v>611</v>
      </c>
      <c r="B41" s="11" t="s">
        <v>650</v>
      </c>
      <c r="C41" s="11" t="s">
        <v>651</v>
      </c>
    </row>
    <row r="42" customFormat="false" ht="23.25" hidden="false" customHeight="true" outlineLevel="0" collapsed="false">
      <c r="A42" s="15" t="s">
        <v>614</v>
      </c>
      <c r="B42" s="11" t="s">
        <v>652</v>
      </c>
      <c r="C42" s="11" t="s">
        <v>653</v>
      </c>
    </row>
    <row r="43" customFormat="false" ht="15" hidden="false" customHeight="true" outlineLevel="0" collapsed="false">
      <c r="A43" s="15" t="s">
        <v>617</v>
      </c>
      <c r="B43" s="11" t="s">
        <v>618</v>
      </c>
      <c r="C43" s="11" t="s">
        <v>618</v>
      </c>
    </row>
    <row r="45" customFormat="false" ht="15" hidden="false" customHeight="true" outlineLevel="0" collapsed="false">
      <c r="A45" s="28" t="s">
        <v>654</v>
      </c>
      <c r="B45" s="28"/>
      <c r="C45" s="28"/>
    </row>
    <row r="46" customFormat="false" ht="15" hidden="false" customHeight="true" outlineLevel="0" collapsed="false">
      <c r="A46" s="29" t="s">
        <v>655</v>
      </c>
      <c r="B46" s="29"/>
      <c r="C46" s="29"/>
    </row>
    <row r="47" customFormat="false" ht="15" hidden="false" customHeight="false" outlineLevel="0" collapsed="false">
      <c r="A47" s="3" t="s">
        <v>605</v>
      </c>
      <c r="B47" s="3" t="s">
        <v>606</v>
      </c>
      <c r="C47" s="3" t="s">
        <v>607</v>
      </c>
    </row>
    <row r="48" customFormat="false" ht="120" hidden="false" customHeight="true" outlineLevel="0" collapsed="false">
      <c r="A48" s="15" t="s">
        <v>608</v>
      </c>
      <c r="B48" s="11" t="s">
        <v>656</v>
      </c>
      <c r="C48" s="11" t="s">
        <v>657</v>
      </c>
    </row>
    <row r="49" customFormat="false" ht="23.85" hidden="false" customHeight="false" outlineLevel="0" collapsed="false">
      <c r="A49" s="15" t="s">
        <v>611</v>
      </c>
      <c r="B49" s="11" t="s">
        <v>658</v>
      </c>
      <c r="C49" s="11" t="s">
        <v>659</v>
      </c>
    </row>
    <row r="50" customFormat="false" ht="23.85" hidden="false" customHeight="false" outlineLevel="0" collapsed="false">
      <c r="A50" s="15" t="s">
        <v>614</v>
      </c>
      <c r="B50" s="11" t="s">
        <v>660</v>
      </c>
      <c r="C50" s="11" t="s">
        <v>661</v>
      </c>
    </row>
    <row r="51" customFormat="false" ht="15" hidden="false" customHeight="false" outlineLevel="0" collapsed="false">
      <c r="A51" s="15" t="s">
        <v>617</v>
      </c>
      <c r="B51" s="11" t="s">
        <v>662</v>
      </c>
      <c r="C51" s="11" t="s">
        <v>662</v>
      </c>
    </row>
    <row r="53" customFormat="false" ht="15" hidden="false" customHeight="true" outlineLevel="0" collapsed="false">
      <c r="A53" s="29" t="s">
        <v>663</v>
      </c>
      <c r="B53" s="29"/>
      <c r="C53" s="29"/>
    </row>
    <row r="54" customFormat="false" ht="15" hidden="false" customHeight="false" outlineLevel="0" collapsed="false">
      <c r="A54" s="3" t="s">
        <v>605</v>
      </c>
      <c r="B54" s="3" t="s">
        <v>606</v>
      </c>
      <c r="C54" s="3" t="s">
        <v>607</v>
      </c>
    </row>
    <row r="55" customFormat="false" ht="120" hidden="false" customHeight="true" outlineLevel="0" collapsed="false">
      <c r="A55" s="15" t="s">
        <v>608</v>
      </c>
      <c r="B55" s="11" t="s">
        <v>664</v>
      </c>
      <c r="C55" s="11" t="s">
        <v>665</v>
      </c>
    </row>
    <row r="56" customFormat="false" ht="23.85" hidden="false" customHeight="false" outlineLevel="0" collapsed="false">
      <c r="A56" s="15" t="s">
        <v>611</v>
      </c>
      <c r="B56" s="11" t="s">
        <v>666</v>
      </c>
      <c r="C56" s="11" t="s">
        <v>667</v>
      </c>
    </row>
    <row r="57" customFormat="false" ht="23.85" hidden="false" customHeight="false" outlineLevel="0" collapsed="false">
      <c r="A57" s="15" t="s">
        <v>614</v>
      </c>
      <c r="B57" s="11" t="s">
        <v>668</v>
      </c>
      <c r="C57" s="11" t="s">
        <v>669</v>
      </c>
    </row>
    <row r="58" customFormat="false" ht="15" hidden="false" customHeight="false" outlineLevel="0" collapsed="false">
      <c r="A58" s="15" t="s">
        <v>617</v>
      </c>
      <c r="B58" s="11" t="s">
        <v>670</v>
      </c>
      <c r="C58" s="11" t="s">
        <v>670</v>
      </c>
    </row>
    <row r="60" customFormat="false" ht="15" hidden="false" customHeight="true" outlineLevel="0" collapsed="false">
      <c r="A60" s="29" t="s">
        <v>671</v>
      </c>
      <c r="B60" s="29"/>
      <c r="C60" s="29"/>
    </row>
    <row r="61" customFormat="false" ht="15" hidden="false" customHeight="false" outlineLevel="0" collapsed="false">
      <c r="A61" s="3" t="s">
        <v>605</v>
      </c>
      <c r="B61" s="3" t="s">
        <v>606</v>
      </c>
      <c r="C61" s="3" t="s">
        <v>607</v>
      </c>
    </row>
    <row r="62" customFormat="false" ht="120" hidden="false" customHeight="true" outlineLevel="0" collapsed="false">
      <c r="A62" s="15" t="s">
        <v>608</v>
      </c>
      <c r="B62" s="11" t="s">
        <v>672</v>
      </c>
      <c r="C62" s="11" t="s">
        <v>673</v>
      </c>
    </row>
    <row r="63" customFormat="false" ht="23.85" hidden="false" customHeight="false" outlineLevel="0" collapsed="false">
      <c r="A63" s="15" t="s">
        <v>611</v>
      </c>
      <c r="B63" s="11" t="s">
        <v>674</v>
      </c>
      <c r="C63" s="11" t="s">
        <v>675</v>
      </c>
    </row>
    <row r="64" customFormat="false" ht="23.85" hidden="false" customHeight="false" outlineLevel="0" collapsed="false">
      <c r="A64" s="15" t="s">
        <v>614</v>
      </c>
      <c r="B64" s="11" t="s">
        <v>676</v>
      </c>
      <c r="C64" s="11" t="s">
        <v>677</v>
      </c>
    </row>
    <row r="65" customFormat="false" ht="15" hidden="false" customHeight="false" outlineLevel="0" collapsed="false">
      <c r="A65" s="15" t="s">
        <v>617</v>
      </c>
      <c r="B65" s="11" t="s">
        <v>670</v>
      </c>
      <c r="C65" s="11" t="s">
        <v>670</v>
      </c>
    </row>
  </sheetData>
  <mergeCells count="11">
    <mergeCell ref="A1:G1"/>
    <mergeCell ref="A3:G3"/>
    <mergeCell ref="A10:G10"/>
    <mergeCell ref="A17:G17"/>
    <mergeCell ref="A24:G24"/>
    <mergeCell ref="A31:G31"/>
    <mergeCell ref="A38:G38"/>
    <mergeCell ref="A45:C45"/>
    <mergeCell ref="A46:C46"/>
    <mergeCell ref="A53:C53"/>
    <mergeCell ref="A60:C6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59E0B"/>
    <pageSetUpPr fitToPage="false"/>
  </sheetPr>
  <dimension ref="A1:F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30"/>
    <col collapsed="false" customWidth="true" hidden="false" outlineLevel="0" max="3" min="3" style="1" width="20"/>
    <col collapsed="false" customWidth="true" hidden="false" outlineLevel="0" max="5" min="4" style="1" width="16"/>
    <col collapsed="false" customWidth="true" hidden="false" outlineLevel="0" max="6" min="6" style="1" width="20"/>
  </cols>
  <sheetData>
    <row r="1" customFormat="false" ht="19.5" hidden="false" customHeight="true" outlineLevel="0" collapsed="false">
      <c r="A1" s="2" t="s">
        <v>678</v>
      </c>
      <c r="B1" s="2"/>
      <c r="C1" s="2"/>
      <c r="D1" s="2"/>
      <c r="E1" s="2"/>
      <c r="F1" s="2"/>
    </row>
    <row r="3" customFormat="false" ht="15" hidden="false" customHeight="true" outlineLevel="0" collapsed="false">
      <c r="A3" s="10" t="s">
        <v>679</v>
      </c>
      <c r="B3" s="10"/>
      <c r="C3" s="10"/>
      <c r="D3" s="10"/>
      <c r="E3" s="10"/>
      <c r="F3" s="10"/>
    </row>
    <row r="5" customFormat="false" ht="15" hidden="false" customHeight="true" outlineLevel="0" collapsed="false">
      <c r="A5" s="34" t="s">
        <v>680</v>
      </c>
      <c r="B5" s="35" t="s">
        <v>681</v>
      </c>
      <c r="C5" s="36"/>
      <c r="D5" s="36"/>
      <c r="E5" s="36"/>
      <c r="F5" s="36"/>
    </row>
    <row r="6" customFormat="false" ht="15" hidden="false" customHeight="true" outlineLevel="0" collapsed="false">
      <c r="A6" s="34" t="s">
        <v>682</v>
      </c>
      <c r="B6" s="35" t="s">
        <v>683</v>
      </c>
      <c r="C6" s="36"/>
      <c r="D6" s="36"/>
      <c r="E6" s="36"/>
      <c r="F6" s="36"/>
    </row>
    <row r="7" customFormat="false" ht="15" hidden="false" customHeight="true" outlineLevel="0" collapsed="false">
      <c r="A7" s="34" t="s">
        <v>684</v>
      </c>
      <c r="B7" s="35" t="s">
        <v>685</v>
      </c>
      <c r="C7" s="36"/>
      <c r="D7" s="36"/>
      <c r="E7" s="36"/>
      <c r="F7" s="36"/>
    </row>
    <row r="8" customFormat="false" ht="15" hidden="false" customHeight="true" outlineLevel="0" collapsed="false">
      <c r="A8" s="34" t="s">
        <v>686</v>
      </c>
      <c r="B8" s="36" t="str">
        <f aca="false">IF(OR(B7=0,B7="[X]"),"-",B6/B7)</f>
        <v>-</v>
      </c>
      <c r="C8" s="36"/>
      <c r="D8" s="36"/>
      <c r="E8" s="36"/>
      <c r="F8" s="36"/>
    </row>
    <row r="9" customFormat="false" ht="15" hidden="false" customHeight="true" outlineLevel="0" collapsed="false">
      <c r="A9" s="34" t="s">
        <v>687</v>
      </c>
      <c r="B9" s="35" t="s">
        <v>688</v>
      </c>
      <c r="C9" s="36"/>
      <c r="D9" s="36"/>
      <c r="E9" s="36"/>
      <c r="F9" s="36"/>
    </row>
    <row r="11" customFormat="false" ht="15" hidden="false" customHeight="true" outlineLevel="0" collapsed="false">
      <c r="A11" s="10" t="s">
        <v>689</v>
      </c>
      <c r="B11" s="10"/>
      <c r="C11" s="10"/>
      <c r="D11" s="10"/>
      <c r="E11" s="10"/>
      <c r="F11" s="10"/>
    </row>
    <row r="12" customFormat="false" ht="15" hidden="false" customHeight="true" outlineLevel="0" collapsed="false">
      <c r="A12" s="3" t="s">
        <v>475</v>
      </c>
      <c r="B12" s="3" t="s">
        <v>690</v>
      </c>
    </row>
    <row r="13" customFormat="false" ht="15" hidden="false" customHeight="true" outlineLevel="0" collapsed="false">
      <c r="A13" s="37" t="s">
        <v>691</v>
      </c>
      <c r="B13" s="35" t="s">
        <v>692</v>
      </c>
    </row>
    <row r="14" customFormat="false" ht="15" hidden="false" customHeight="true" outlineLevel="0" collapsed="false">
      <c r="A14" s="37" t="s">
        <v>693</v>
      </c>
      <c r="B14" s="35" t="s">
        <v>692</v>
      </c>
    </row>
    <row r="15" customFormat="false" ht="15" hidden="false" customHeight="true" outlineLevel="0" collapsed="false">
      <c r="A15" s="37" t="s">
        <v>694</v>
      </c>
      <c r="B15" s="35" t="s">
        <v>692</v>
      </c>
    </row>
    <row r="16" customFormat="false" ht="15" hidden="false" customHeight="true" outlineLevel="0" collapsed="false">
      <c r="A16" s="37" t="s">
        <v>695</v>
      </c>
      <c r="B16" s="35" t="s">
        <v>692</v>
      </c>
    </row>
    <row r="17" customFormat="false" ht="15" hidden="false" customHeight="true" outlineLevel="0" collapsed="false">
      <c r="A17" s="37" t="s">
        <v>696</v>
      </c>
      <c r="B17" s="35" t="s">
        <v>692</v>
      </c>
    </row>
    <row r="18" customFormat="false" ht="15" hidden="false" customHeight="true" outlineLevel="0" collapsed="false">
      <c r="A18" s="37" t="s">
        <v>697</v>
      </c>
      <c r="B18" s="35" t="s">
        <v>692</v>
      </c>
    </row>
    <row r="20" customFormat="false" ht="15" hidden="false" customHeight="true" outlineLevel="0" collapsed="false">
      <c r="A20" s="10" t="s">
        <v>698</v>
      </c>
      <c r="B20" s="10"/>
      <c r="C20" s="10"/>
      <c r="D20" s="10"/>
      <c r="E20" s="10"/>
      <c r="F20" s="10"/>
    </row>
    <row r="21" customFormat="false" ht="15" hidden="false" customHeight="true" outlineLevel="0" collapsed="false">
      <c r="A21" s="3" t="s">
        <v>475</v>
      </c>
      <c r="B21" s="3" t="s">
        <v>690</v>
      </c>
    </row>
    <row r="22" customFormat="false" ht="15" hidden="false" customHeight="true" outlineLevel="0" collapsed="false">
      <c r="A22" s="37" t="s">
        <v>691</v>
      </c>
      <c r="B22" s="35" t="s">
        <v>692</v>
      </c>
    </row>
    <row r="23" customFormat="false" ht="15" hidden="false" customHeight="true" outlineLevel="0" collapsed="false">
      <c r="A23" s="37" t="s">
        <v>699</v>
      </c>
      <c r="B23" s="35" t="s">
        <v>692</v>
      </c>
    </row>
    <row r="24" customFormat="false" ht="15" hidden="false" customHeight="true" outlineLevel="0" collapsed="false">
      <c r="A24" s="37" t="s">
        <v>700</v>
      </c>
      <c r="B24" s="35" t="s">
        <v>692</v>
      </c>
    </row>
    <row r="25" customFormat="false" ht="15" hidden="false" customHeight="true" outlineLevel="0" collapsed="false">
      <c r="A25" s="37" t="s">
        <v>693</v>
      </c>
      <c r="B25" s="35" t="s">
        <v>692</v>
      </c>
    </row>
    <row r="26" customFormat="false" ht="15" hidden="false" customHeight="true" outlineLevel="0" collapsed="false">
      <c r="A26" s="37" t="s">
        <v>694</v>
      </c>
      <c r="B26" s="35" t="s">
        <v>692</v>
      </c>
    </row>
    <row r="27" customFormat="false" ht="15" hidden="false" customHeight="true" outlineLevel="0" collapsed="false">
      <c r="A27" s="37" t="s">
        <v>696</v>
      </c>
      <c r="B27" s="35" t="s">
        <v>692</v>
      </c>
    </row>
    <row r="29" customFormat="false" ht="15" hidden="false" customHeight="true" outlineLevel="0" collapsed="false">
      <c r="A29" s="10" t="s">
        <v>701</v>
      </c>
      <c r="B29" s="10"/>
      <c r="C29" s="10"/>
      <c r="D29" s="10"/>
      <c r="E29" s="10"/>
      <c r="F29" s="10"/>
    </row>
    <row r="30" customFormat="false" ht="15" hidden="false" customHeight="true" outlineLevel="0" collapsed="false">
      <c r="A30" s="3" t="s">
        <v>702</v>
      </c>
      <c r="B30" s="3" t="s">
        <v>697</v>
      </c>
      <c r="C30" s="3" t="s">
        <v>703</v>
      </c>
      <c r="D30" s="3" t="s">
        <v>694</v>
      </c>
      <c r="E30" s="3" t="s">
        <v>693</v>
      </c>
      <c r="F30" s="3" t="s">
        <v>704</v>
      </c>
    </row>
    <row r="31" customFormat="false" ht="15" hidden="false" customHeight="true" outlineLevel="0" collapsed="false">
      <c r="A31" s="37" t="s">
        <v>705</v>
      </c>
      <c r="B31" s="35" t="s">
        <v>692</v>
      </c>
      <c r="C31" s="35" t="s">
        <v>692</v>
      </c>
      <c r="D31" s="35" t="s">
        <v>692</v>
      </c>
      <c r="E31" s="35" t="s">
        <v>692</v>
      </c>
      <c r="F31" s="35" t="s">
        <v>692</v>
      </c>
    </row>
    <row r="32" customFormat="false" ht="15" hidden="false" customHeight="true" outlineLevel="0" collapsed="false">
      <c r="A32" s="37" t="s">
        <v>706</v>
      </c>
      <c r="B32" s="35" t="s">
        <v>692</v>
      </c>
      <c r="C32" s="35" t="s">
        <v>692</v>
      </c>
      <c r="D32" s="35" t="s">
        <v>692</v>
      </c>
      <c r="E32" s="35" t="s">
        <v>692</v>
      </c>
      <c r="F32" s="35" t="s">
        <v>692</v>
      </c>
    </row>
    <row r="33" customFormat="false" ht="15" hidden="false" customHeight="true" outlineLevel="0" collapsed="false">
      <c r="A33" s="37" t="s">
        <v>707</v>
      </c>
      <c r="B33" s="35" t="s">
        <v>692</v>
      </c>
      <c r="C33" s="35" t="s">
        <v>692</v>
      </c>
      <c r="D33" s="35" t="s">
        <v>692</v>
      </c>
      <c r="E33" s="35" t="s">
        <v>692</v>
      </c>
      <c r="F33" s="35" t="s">
        <v>692</v>
      </c>
    </row>
    <row r="35" customFormat="false" ht="15" hidden="false" customHeight="true" outlineLevel="0" collapsed="false">
      <c r="A35" s="10" t="s">
        <v>708</v>
      </c>
      <c r="B35" s="10"/>
      <c r="C35" s="10"/>
      <c r="D35" s="10"/>
      <c r="E35" s="10"/>
      <c r="F35" s="10"/>
    </row>
    <row r="37" customFormat="false" ht="15" hidden="false" customHeight="true" outlineLevel="0" collapsed="false">
      <c r="A37" s="37" t="s">
        <v>709</v>
      </c>
      <c r="B37" s="37" t="s">
        <v>710</v>
      </c>
      <c r="C37" s="38" t="s">
        <v>711</v>
      </c>
      <c r="D37" s="38"/>
      <c r="E37" s="38"/>
      <c r="F37" s="38"/>
    </row>
    <row r="38" customFormat="false" ht="15" hidden="false" customHeight="true" outlineLevel="0" collapsed="false">
      <c r="A38" s="37" t="s">
        <v>712</v>
      </c>
      <c r="B38" s="37" t="s">
        <v>713</v>
      </c>
      <c r="C38" s="38" t="s">
        <v>711</v>
      </c>
      <c r="D38" s="38"/>
      <c r="E38" s="38"/>
      <c r="F38" s="38"/>
    </row>
    <row r="39" customFormat="false" ht="15" hidden="false" customHeight="true" outlineLevel="0" collapsed="false">
      <c r="A39" s="37" t="s">
        <v>714</v>
      </c>
      <c r="B39" s="37" t="s">
        <v>715</v>
      </c>
      <c r="C39" s="38" t="s">
        <v>711</v>
      </c>
      <c r="D39" s="38"/>
      <c r="E39" s="38"/>
      <c r="F39" s="38"/>
    </row>
    <row r="40" customFormat="false" ht="15" hidden="false" customHeight="true" outlineLevel="0" collapsed="false">
      <c r="A40" s="37" t="s">
        <v>716</v>
      </c>
      <c r="B40" s="37" t="s">
        <v>717</v>
      </c>
      <c r="C40" s="38" t="s">
        <v>711</v>
      </c>
      <c r="D40" s="38"/>
      <c r="E40" s="38"/>
      <c r="F40" s="38"/>
    </row>
    <row r="41" customFormat="false" ht="15" hidden="false" customHeight="true" outlineLevel="0" collapsed="false">
      <c r="A41" s="37" t="s">
        <v>718</v>
      </c>
      <c r="B41" s="37" t="s">
        <v>719</v>
      </c>
      <c r="C41" s="38" t="s">
        <v>711</v>
      </c>
      <c r="D41" s="38"/>
      <c r="E41" s="38"/>
      <c r="F41" s="38"/>
    </row>
  </sheetData>
  <mergeCells count="11">
    <mergeCell ref="A1:F1"/>
    <mergeCell ref="A3:F3"/>
    <mergeCell ref="A11:F11"/>
    <mergeCell ref="A20:F20"/>
    <mergeCell ref="A29:F29"/>
    <mergeCell ref="A35:F35"/>
    <mergeCell ref="C37:F37"/>
    <mergeCell ref="C38:F38"/>
    <mergeCell ref="C39:F39"/>
    <mergeCell ref="C40:F40"/>
    <mergeCell ref="C41:F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0B981"/>
    <pageSetUpPr fitToPage="fals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3" min="2" style="1" width="18"/>
    <col collapsed="false" customWidth="true" hidden="false" outlineLevel="0" max="4" min="4" style="1" width="16"/>
    <col collapsed="false" customWidth="true" hidden="false" outlineLevel="0" max="5" min="5" style="1" width="18"/>
  </cols>
  <sheetData>
    <row r="1" customFormat="false" ht="19.5" hidden="false" customHeight="true" outlineLevel="0" collapsed="false">
      <c r="A1" s="2" t="s">
        <v>720</v>
      </c>
      <c r="B1" s="2"/>
      <c r="C1" s="2"/>
      <c r="D1" s="2"/>
      <c r="E1" s="2"/>
      <c r="F1" s="2"/>
    </row>
    <row r="3" customFormat="false" ht="15" hidden="false" customHeight="true" outlineLevel="0" collapsed="false">
      <c r="A3" s="10" t="s">
        <v>721</v>
      </c>
      <c r="B3" s="10"/>
      <c r="C3" s="10"/>
      <c r="D3" s="10"/>
      <c r="E3" s="10"/>
      <c r="F3" s="10"/>
    </row>
    <row r="4" customFormat="false" ht="15" hidden="false" customHeight="true" outlineLevel="0" collapsed="false">
      <c r="A4" s="37" t="s">
        <v>722</v>
      </c>
      <c r="B4" s="39" t="n">
        <v>7500</v>
      </c>
    </row>
    <row r="5" customFormat="false" ht="15" hidden="false" customHeight="true" outlineLevel="0" collapsed="false">
      <c r="A5" s="37" t="s">
        <v>723</v>
      </c>
      <c r="B5" s="39" t="n">
        <v>25</v>
      </c>
    </row>
    <row r="6" customFormat="false" ht="15" hidden="false" customHeight="true" outlineLevel="0" collapsed="false">
      <c r="A6" s="37" t="s">
        <v>724</v>
      </c>
      <c r="B6" s="35" t="n">
        <v>30</v>
      </c>
    </row>
    <row r="7" customFormat="false" ht="15" hidden="false" customHeight="true" outlineLevel="0" collapsed="false">
      <c r="A7" s="37" t="s">
        <v>194</v>
      </c>
      <c r="B7" s="40" t="n">
        <f aca="false">B4/B6</f>
        <v>250</v>
      </c>
    </row>
    <row r="8" customFormat="false" ht="15" hidden="false" customHeight="true" outlineLevel="0" collapsed="false">
      <c r="A8" s="37" t="s">
        <v>725</v>
      </c>
      <c r="B8" s="41" t="n">
        <f aca="false">B4/B5</f>
        <v>300</v>
      </c>
    </row>
    <row r="10" customFormat="false" ht="15" hidden="false" customHeight="true" outlineLevel="0" collapsed="false">
      <c r="A10" s="10" t="s">
        <v>726</v>
      </c>
      <c r="B10" s="10"/>
      <c r="C10" s="10"/>
      <c r="D10" s="10"/>
      <c r="E10" s="10"/>
      <c r="F10" s="10"/>
    </row>
    <row r="11" customFormat="false" ht="15" hidden="false" customHeight="true" outlineLevel="0" collapsed="false">
      <c r="A11" s="3" t="s">
        <v>321</v>
      </c>
      <c r="B11" s="3" t="s">
        <v>727</v>
      </c>
      <c r="C11" s="3" t="s">
        <v>728</v>
      </c>
      <c r="D11" s="3" t="s">
        <v>729</v>
      </c>
      <c r="E11" s="3" t="s">
        <v>730</v>
      </c>
    </row>
    <row r="12" customFormat="false" ht="15" hidden="false" customHeight="true" outlineLevel="0" collapsed="false">
      <c r="A12" s="37" t="s">
        <v>731</v>
      </c>
      <c r="B12" s="42" t="n">
        <v>0.4</v>
      </c>
      <c r="C12" s="43" t="n">
        <f aca="false">B4*B12</f>
        <v>3000</v>
      </c>
      <c r="D12" s="43" t="n">
        <f aca="false">C12/B6</f>
        <v>100</v>
      </c>
      <c r="E12" s="43" t="n">
        <f aca="false">C12/B5</f>
        <v>120</v>
      </c>
    </row>
    <row r="13" customFormat="false" ht="15" hidden="false" customHeight="true" outlineLevel="0" collapsed="false">
      <c r="A13" s="37" t="s">
        <v>732</v>
      </c>
      <c r="B13" s="42" t="n">
        <v>0.24</v>
      </c>
      <c r="C13" s="43" t="n">
        <f aca="false">B4*B13</f>
        <v>1800</v>
      </c>
      <c r="D13" s="43" t="n">
        <f aca="false">C13/B6</f>
        <v>60</v>
      </c>
      <c r="E13" s="43" t="n">
        <f aca="false">C13/B5</f>
        <v>72</v>
      </c>
    </row>
    <row r="14" customFormat="false" ht="15" hidden="false" customHeight="true" outlineLevel="0" collapsed="false">
      <c r="A14" s="37" t="s">
        <v>733</v>
      </c>
      <c r="B14" s="42" t="n">
        <v>0.36</v>
      </c>
      <c r="C14" s="43" t="n">
        <f aca="false">B4*B14</f>
        <v>2700</v>
      </c>
      <c r="D14" s="43" t="n">
        <f aca="false">C14/B6</f>
        <v>90</v>
      </c>
      <c r="E14" s="43" t="n">
        <f aca="false">C14/B5</f>
        <v>108</v>
      </c>
    </row>
    <row r="15" customFormat="false" ht="15" hidden="false" customHeight="true" outlineLevel="0" collapsed="false">
      <c r="A15" s="37" t="s">
        <v>468</v>
      </c>
      <c r="B15" s="44" t="n">
        <f aca="false">SUM(B12:B14)</f>
        <v>1</v>
      </c>
      <c r="C15" s="40" t="n">
        <f aca="false">SUM(C12:C14)</f>
        <v>7500</v>
      </c>
      <c r="D15" s="40" t="n">
        <f aca="false">SUM(D12:D14)</f>
        <v>250</v>
      </c>
      <c r="E15" s="41" t="n">
        <f aca="false">SUM(E12:E14)</f>
        <v>300</v>
      </c>
    </row>
  </sheetData>
  <mergeCells count="3">
    <mergeCell ref="A1:F1"/>
    <mergeCell ref="A3:F3"/>
    <mergeCell ref="A10:F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2026-04-05T11:28:41Z</dcterms:created>
  <dc:creator>openpyxl</dc:creator>
  <dc:description/>
  <dc:language>en-US</dc:language>
  <cp:lastModifiedBy/>
  <dcterms:modified xsi:type="dcterms:W3CDTF">2026-04-05T13:19:20Z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